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31f4d1394d73316/Documents/IS 2/GRADES/"/>
    </mc:Choice>
  </mc:AlternateContent>
  <xr:revisionPtr revIDLastSave="351" documentId="13_ncr:1_{66C636F4-329B-4314-AF34-ADB4178320E7}" xr6:coauthVersionLast="47" xr6:coauthVersionMax="47" xr10:uidLastSave="{6FA4CA04-4399-449D-B711-2A530E71146B}"/>
  <bookViews>
    <workbookView xWindow="-108" yWindow="-108" windowWidth="23256" windowHeight="13896" activeTab="4" xr2:uid="{87FB22A3-4964-4D8E-9DFD-9EE8796096A1}"/>
  </bookViews>
  <sheets>
    <sheet name="Attendance" sheetId="1" r:id="rId1"/>
    <sheet name="Prelim" sheetId="5" r:id="rId2"/>
    <sheet name="Midterm" sheetId="3" r:id="rId3"/>
    <sheet name="Final" sheetId="6" r:id="rId4"/>
    <sheet name="IS 2 FINAL GRADE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7" l="1"/>
  <c r="D21" i="7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10" i="6"/>
  <c r="D9" i="6"/>
  <c r="A7" i="7"/>
  <c r="D9" i="7" l="1"/>
  <c r="D10" i="7"/>
  <c r="D11" i="7"/>
  <c r="D12" i="7"/>
  <c r="D13" i="7"/>
  <c r="D14" i="7"/>
  <c r="D15" i="7"/>
  <c r="D16" i="7"/>
  <c r="D17" i="7"/>
  <c r="D18" i="7"/>
  <c r="D19" i="7"/>
  <c r="D20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2" i="7"/>
  <c r="D43" i="7"/>
  <c r="D44" i="7"/>
  <c r="D46" i="7"/>
  <c r="D47" i="7"/>
  <c r="D48" i="7"/>
  <c r="D49" i="7"/>
  <c r="D50" i="7"/>
  <c r="D51" i="7"/>
  <c r="D52" i="7"/>
  <c r="D8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B2" i="7"/>
  <c r="B3" i="7"/>
  <c r="B4" i="7"/>
  <c r="B5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1" i="7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10" i="3"/>
  <c r="D9" i="3"/>
  <c r="AQ18" i="5"/>
  <c r="A53" i="3"/>
  <c r="B53" i="3"/>
  <c r="I53" i="3"/>
  <c r="J53" i="3"/>
  <c r="K53" i="3" s="1"/>
  <c r="P53" i="3"/>
  <c r="Q53" i="3"/>
  <c r="R53" i="3" s="1"/>
  <c r="T53" i="3"/>
  <c r="U53" i="3" s="1"/>
  <c r="AF53" i="3"/>
  <c r="AG53" i="3"/>
  <c r="AH53" i="3" s="1"/>
  <c r="AO53" i="3"/>
  <c r="AP53" i="3"/>
  <c r="AQ53" i="3" s="1"/>
  <c r="AT53" i="3"/>
  <c r="AU53" i="3"/>
  <c r="AV53" i="3" s="1"/>
  <c r="A54" i="3"/>
  <c r="B54" i="3"/>
  <c r="I54" i="3"/>
  <c r="J54" i="3" s="1"/>
  <c r="K54" i="3" s="1"/>
  <c r="P54" i="3"/>
  <c r="Q54" i="3"/>
  <c r="R54" i="3"/>
  <c r="T54" i="3"/>
  <c r="U54" i="3"/>
  <c r="AF54" i="3"/>
  <c r="AG54" i="3"/>
  <c r="AH54" i="3" s="1"/>
  <c r="AO54" i="3"/>
  <c r="AP54" i="3" s="1"/>
  <c r="AQ54" i="3" s="1"/>
  <c r="AT54" i="3"/>
  <c r="AU54" i="3" s="1"/>
  <c r="AV54" i="3" s="1"/>
  <c r="A53" i="5"/>
  <c r="B53" i="5"/>
  <c r="I53" i="5"/>
  <c r="J53" i="5"/>
  <c r="K53" i="5"/>
  <c r="P53" i="5"/>
  <c r="Q53" i="5" s="1"/>
  <c r="R53" i="5" s="1"/>
  <c r="T53" i="5"/>
  <c r="U53" i="5" s="1"/>
  <c r="AF53" i="5"/>
  <c r="AG53" i="5"/>
  <c r="AH53" i="5"/>
  <c r="AO53" i="5"/>
  <c r="AP53" i="5"/>
  <c r="AQ53" i="5"/>
  <c r="AT53" i="5"/>
  <c r="AU53" i="5"/>
  <c r="AV53" i="5"/>
  <c r="A54" i="5"/>
  <c r="B54" i="5"/>
  <c r="I54" i="5"/>
  <c r="J54" i="5" s="1"/>
  <c r="K54" i="5" s="1"/>
  <c r="P54" i="5"/>
  <c r="Q54" i="5"/>
  <c r="R54" i="5" s="1"/>
  <c r="T54" i="5"/>
  <c r="U54" i="5"/>
  <c r="AF54" i="5"/>
  <c r="AG54" i="5"/>
  <c r="AH54" i="5"/>
  <c r="AO54" i="5"/>
  <c r="AP54" i="5" s="1"/>
  <c r="AQ54" i="5" s="1"/>
  <c r="AT54" i="5"/>
  <c r="AU54" i="5" s="1"/>
  <c r="AV54" i="5" s="1"/>
  <c r="J51" i="1"/>
  <c r="S51" i="1"/>
  <c r="C53" i="3" s="1"/>
  <c r="AB51" i="1"/>
  <c r="C53" i="6" s="1"/>
  <c r="J52" i="1"/>
  <c r="S52" i="1"/>
  <c r="C54" i="3" s="1"/>
  <c r="AB52" i="1"/>
  <c r="C54" i="6" s="1"/>
  <c r="I53" i="6"/>
  <c r="J53" i="6"/>
  <c r="K53" i="6" s="1"/>
  <c r="P53" i="6"/>
  <c r="Q53" i="6" s="1"/>
  <c r="R53" i="6" s="1"/>
  <c r="T53" i="6"/>
  <c r="U53" i="6" s="1"/>
  <c r="AF53" i="6"/>
  <c r="AG53" i="6" s="1"/>
  <c r="AH53" i="6" s="1"/>
  <c r="AO53" i="6"/>
  <c r="AP53" i="6" s="1"/>
  <c r="AQ53" i="6" s="1"/>
  <c r="AT53" i="6"/>
  <c r="AU53" i="6" s="1"/>
  <c r="AV53" i="6" s="1"/>
  <c r="I54" i="6"/>
  <c r="J54" i="6" s="1"/>
  <c r="K54" i="6" s="1"/>
  <c r="P54" i="6"/>
  <c r="Q54" i="6" s="1"/>
  <c r="R54" i="6" s="1"/>
  <c r="T54" i="6"/>
  <c r="U54" i="6"/>
  <c r="AF54" i="6"/>
  <c r="AG54" i="6"/>
  <c r="AH54" i="6" s="1"/>
  <c r="AO54" i="6"/>
  <c r="AP54" i="6"/>
  <c r="AQ54" i="6" s="1"/>
  <c r="AT54" i="6"/>
  <c r="AU54" i="6"/>
  <c r="AV54" i="6" s="1"/>
  <c r="AT52" i="6"/>
  <c r="AU52" i="6" s="1"/>
  <c r="AV52" i="6" s="1"/>
  <c r="AO52" i="6"/>
  <c r="AP52" i="6" s="1"/>
  <c r="AQ52" i="6" s="1"/>
  <c r="AF52" i="6"/>
  <c r="AG52" i="6" s="1"/>
  <c r="AH52" i="6" s="1"/>
  <c r="T52" i="6"/>
  <c r="U52" i="6" s="1"/>
  <c r="P52" i="6"/>
  <c r="Q52" i="6" s="1"/>
  <c r="R52" i="6" s="1"/>
  <c r="I52" i="6"/>
  <c r="J52" i="6" s="1"/>
  <c r="K52" i="6" s="1"/>
  <c r="A52" i="6"/>
  <c r="AT51" i="6"/>
  <c r="AU51" i="6" s="1"/>
  <c r="AV51" i="6" s="1"/>
  <c r="AO51" i="6"/>
  <c r="AP51" i="6" s="1"/>
  <c r="AQ51" i="6" s="1"/>
  <c r="AF51" i="6"/>
  <c r="AG51" i="6" s="1"/>
  <c r="AH51" i="6" s="1"/>
  <c r="T51" i="6"/>
  <c r="U51" i="6" s="1"/>
  <c r="P51" i="6"/>
  <c r="Q51" i="6" s="1"/>
  <c r="R51" i="6" s="1"/>
  <c r="I51" i="6"/>
  <c r="J51" i="6" s="1"/>
  <c r="K51" i="6" s="1"/>
  <c r="A51" i="6"/>
  <c r="AT50" i="6"/>
  <c r="AU50" i="6" s="1"/>
  <c r="AV50" i="6" s="1"/>
  <c r="AO50" i="6"/>
  <c r="AP50" i="6" s="1"/>
  <c r="AQ50" i="6" s="1"/>
  <c r="AF50" i="6"/>
  <c r="AG50" i="6" s="1"/>
  <c r="AH50" i="6" s="1"/>
  <c r="T50" i="6"/>
  <c r="U50" i="6" s="1"/>
  <c r="P50" i="6"/>
  <c r="Q50" i="6" s="1"/>
  <c r="R50" i="6" s="1"/>
  <c r="I50" i="6"/>
  <c r="J50" i="6" s="1"/>
  <c r="K50" i="6" s="1"/>
  <c r="A50" i="6"/>
  <c r="AT49" i="6"/>
  <c r="AU49" i="6" s="1"/>
  <c r="AV49" i="6" s="1"/>
  <c r="AO49" i="6"/>
  <c r="AP49" i="6" s="1"/>
  <c r="AQ49" i="6" s="1"/>
  <c r="AF49" i="6"/>
  <c r="AG49" i="6" s="1"/>
  <c r="AH49" i="6" s="1"/>
  <c r="T49" i="6"/>
  <c r="U49" i="6" s="1"/>
  <c r="P49" i="6"/>
  <c r="Q49" i="6" s="1"/>
  <c r="R49" i="6" s="1"/>
  <c r="I49" i="6"/>
  <c r="J49" i="6" s="1"/>
  <c r="K49" i="6" s="1"/>
  <c r="A49" i="6"/>
  <c r="AT48" i="6"/>
  <c r="AU48" i="6" s="1"/>
  <c r="AV48" i="6" s="1"/>
  <c r="AO48" i="6"/>
  <c r="AP48" i="6" s="1"/>
  <c r="AQ48" i="6" s="1"/>
  <c r="AF48" i="6"/>
  <c r="AG48" i="6" s="1"/>
  <c r="AH48" i="6" s="1"/>
  <c r="T48" i="6"/>
  <c r="U48" i="6" s="1"/>
  <c r="P48" i="6"/>
  <c r="Q48" i="6" s="1"/>
  <c r="R48" i="6" s="1"/>
  <c r="I48" i="6"/>
  <c r="J48" i="6" s="1"/>
  <c r="K48" i="6" s="1"/>
  <c r="A48" i="6"/>
  <c r="AT47" i="6"/>
  <c r="AU47" i="6" s="1"/>
  <c r="AV47" i="6" s="1"/>
  <c r="AO47" i="6"/>
  <c r="AP47" i="6" s="1"/>
  <c r="AQ47" i="6" s="1"/>
  <c r="AF47" i="6"/>
  <c r="AG47" i="6" s="1"/>
  <c r="AH47" i="6" s="1"/>
  <c r="T47" i="6"/>
  <c r="U47" i="6" s="1"/>
  <c r="P47" i="6"/>
  <c r="Q47" i="6" s="1"/>
  <c r="R47" i="6" s="1"/>
  <c r="I47" i="6"/>
  <c r="J47" i="6" s="1"/>
  <c r="K47" i="6" s="1"/>
  <c r="A47" i="6"/>
  <c r="AT46" i="6"/>
  <c r="AU46" i="6" s="1"/>
  <c r="AV46" i="6" s="1"/>
  <c r="AO46" i="6"/>
  <c r="AP46" i="6" s="1"/>
  <c r="AQ46" i="6" s="1"/>
  <c r="AF46" i="6"/>
  <c r="AG46" i="6" s="1"/>
  <c r="AH46" i="6" s="1"/>
  <c r="T46" i="6"/>
  <c r="U46" i="6" s="1"/>
  <c r="P46" i="6"/>
  <c r="Q46" i="6" s="1"/>
  <c r="R46" i="6" s="1"/>
  <c r="I46" i="6"/>
  <c r="J46" i="6" s="1"/>
  <c r="K46" i="6" s="1"/>
  <c r="A46" i="6"/>
  <c r="AT45" i="6"/>
  <c r="AU45" i="6" s="1"/>
  <c r="AV45" i="6" s="1"/>
  <c r="AO45" i="6"/>
  <c r="AP45" i="6" s="1"/>
  <c r="AQ45" i="6" s="1"/>
  <c r="AF45" i="6"/>
  <c r="AG45" i="6" s="1"/>
  <c r="AH45" i="6" s="1"/>
  <c r="T45" i="6"/>
  <c r="U45" i="6" s="1"/>
  <c r="P45" i="6"/>
  <c r="Q45" i="6" s="1"/>
  <c r="R45" i="6" s="1"/>
  <c r="I45" i="6"/>
  <c r="J45" i="6" s="1"/>
  <c r="K45" i="6" s="1"/>
  <c r="A45" i="6"/>
  <c r="AT44" i="6"/>
  <c r="AU44" i="6" s="1"/>
  <c r="AV44" i="6" s="1"/>
  <c r="AO44" i="6"/>
  <c r="AP44" i="6" s="1"/>
  <c r="AQ44" i="6" s="1"/>
  <c r="AF44" i="6"/>
  <c r="AG44" i="6" s="1"/>
  <c r="AH44" i="6" s="1"/>
  <c r="T44" i="6"/>
  <c r="U44" i="6" s="1"/>
  <c r="P44" i="6"/>
  <c r="Q44" i="6" s="1"/>
  <c r="R44" i="6" s="1"/>
  <c r="I44" i="6"/>
  <c r="J44" i="6" s="1"/>
  <c r="K44" i="6" s="1"/>
  <c r="A44" i="6"/>
  <c r="AT43" i="6"/>
  <c r="AU43" i="6" s="1"/>
  <c r="AV43" i="6" s="1"/>
  <c r="AO43" i="6"/>
  <c r="AP43" i="6" s="1"/>
  <c r="AQ43" i="6" s="1"/>
  <c r="AF43" i="6"/>
  <c r="AG43" i="6" s="1"/>
  <c r="AH43" i="6" s="1"/>
  <c r="T43" i="6"/>
  <c r="U43" i="6" s="1"/>
  <c r="P43" i="6"/>
  <c r="Q43" i="6" s="1"/>
  <c r="R43" i="6" s="1"/>
  <c r="I43" i="6"/>
  <c r="J43" i="6" s="1"/>
  <c r="K43" i="6" s="1"/>
  <c r="A43" i="6"/>
  <c r="AT42" i="6"/>
  <c r="AU42" i="6" s="1"/>
  <c r="AV42" i="6" s="1"/>
  <c r="AO42" i="6"/>
  <c r="AP42" i="6" s="1"/>
  <c r="AQ42" i="6" s="1"/>
  <c r="AF42" i="6"/>
  <c r="AG42" i="6" s="1"/>
  <c r="AH42" i="6" s="1"/>
  <c r="T42" i="6"/>
  <c r="U42" i="6" s="1"/>
  <c r="P42" i="6"/>
  <c r="Q42" i="6" s="1"/>
  <c r="R42" i="6" s="1"/>
  <c r="I42" i="6"/>
  <c r="J42" i="6" s="1"/>
  <c r="K42" i="6" s="1"/>
  <c r="A42" i="6"/>
  <c r="AT41" i="6"/>
  <c r="AU41" i="6" s="1"/>
  <c r="AV41" i="6" s="1"/>
  <c r="AO41" i="6"/>
  <c r="AP41" i="6" s="1"/>
  <c r="AQ41" i="6" s="1"/>
  <c r="AF41" i="6"/>
  <c r="AG41" i="6" s="1"/>
  <c r="AH41" i="6" s="1"/>
  <c r="T41" i="6"/>
  <c r="U41" i="6" s="1"/>
  <c r="P41" i="6"/>
  <c r="Q41" i="6" s="1"/>
  <c r="R41" i="6" s="1"/>
  <c r="I41" i="6"/>
  <c r="J41" i="6" s="1"/>
  <c r="K41" i="6" s="1"/>
  <c r="A41" i="6"/>
  <c r="AT40" i="6"/>
  <c r="AU40" i="6" s="1"/>
  <c r="AV40" i="6" s="1"/>
  <c r="AO40" i="6"/>
  <c r="AP40" i="6" s="1"/>
  <c r="AQ40" i="6" s="1"/>
  <c r="AF40" i="6"/>
  <c r="AG40" i="6" s="1"/>
  <c r="AH40" i="6" s="1"/>
  <c r="T40" i="6"/>
  <c r="U40" i="6" s="1"/>
  <c r="P40" i="6"/>
  <c r="Q40" i="6" s="1"/>
  <c r="R40" i="6" s="1"/>
  <c r="I40" i="6"/>
  <c r="J40" i="6" s="1"/>
  <c r="K40" i="6" s="1"/>
  <c r="A40" i="6"/>
  <c r="AT39" i="6"/>
  <c r="AU39" i="6" s="1"/>
  <c r="AV39" i="6" s="1"/>
  <c r="AO39" i="6"/>
  <c r="AP39" i="6" s="1"/>
  <c r="AQ39" i="6" s="1"/>
  <c r="AF39" i="6"/>
  <c r="AG39" i="6" s="1"/>
  <c r="AH39" i="6" s="1"/>
  <c r="T39" i="6"/>
  <c r="U39" i="6" s="1"/>
  <c r="P39" i="6"/>
  <c r="Q39" i="6" s="1"/>
  <c r="R39" i="6" s="1"/>
  <c r="I39" i="6"/>
  <c r="J39" i="6" s="1"/>
  <c r="K39" i="6" s="1"/>
  <c r="A39" i="6"/>
  <c r="AT38" i="6"/>
  <c r="AU38" i="6" s="1"/>
  <c r="AV38" i="6" s="1"/>
  <c r="AO38" i="6"/>
  <c r="AP38" i="6" s="1"/>
  <c r="AQ38" i="6" s="1"/>
  <c r="AF38" i="6"/>
  <c r="AG38" i="6" s="1"/>
  <c r="AH38" i="6" s="1"/>
  <c r="T38" i="6"/>
  <c r="U38" i="6" s="1"/>
  <c r="P38" i="6"/>
  <c r="Q38" i="6" s="1"/>
  <c r="R38" i="6" s="1"/>
  <c r="I38" i="6"/>
  <c r="J38" i="6" s="1"/>
  <c r="K38" i="6" s="1"/>
  <c r="A38" i="6"/>
  <c r="AT37" i="6"/>
  <c r="AU37" i="6" s="1"/>
  <c r="AV37" i="6" s="1"/>
  <c r="AO37" i="6"/>
  <c r="AP37" i="6" s="1"/>
  <c r="AQ37" i="6" s="1"/>
  <c r="AF37" i="6"/>
  <c r="AG37" i="6" s="1"/>
  <c r="AH37" i="6" s="1"/>
  <c r="T37" i="6"/>
  <c r="U37" i="6" s="1"/>
  <c r="P37" i="6"/>
  <c r="Q37" i="6" s="1"/>
  <c r="R37" i="6" s="1"/>
  <c r="I37" i="6"/>
  <c r="J37" i="6" s="1"/>
  <c r="K37" i="6" s="1"/>
  <c r="A37" i="6"/>
  <c r="AT36" i="6"/>
  <c r="AU36" i="6" s="1"/>
  <c r="AV36" i="6" s="1"/>
  <c r="AO36" i="6"/>
  <c r="AP36" i="6" s="1"/>
  <c r="AQ36" i="6" s="1"/>
  <c r="AF36" i="6"/>
  <c r="AG36" i="6" s="1"/>
  <c r="AH36" i="6" s="1"/>
  <c r="T36" i="6"/>
  <c r="U36" i="6" s="1"/>
  <c r="P36" i="6"/>
  <c r="Q36" i="6" s="1"/>
  <c r="R36" i="6" s="1"/>
  <c r="I36" i="6"/>
  <c r="J36" i="6" s="1"/>
  <c r="K36" i="6" s="1"/>
  <c r="A36" i="6"/>
  <c r="AT35" i="6"/>
  <c r="AU35" i="6" s="1"/>
  <c r="AV35" i="6" s="1"/>
  <c r="AO35" i="6"/>
  <c r="AP35" i="6" s="1"/>
  <c r="AQ35" i="6" s="1"/>
  <c r="AF35" i="6"/>
  <c r="AG35" i="6" s="1"/>
  <c r="AH35" i="6" s="1"/>
  <c r="T35" i="6"/>
  <c r="U35" i="6" s="1"/>
  <c r="P35" i="6"/>
  <c r="Q35" i="6" s="1"/>
  <c r="R35" i="6" s="1"/>
  <c r="I35" i="6"/>
  <c r="J35" i="6" s="1"/>
  <c r="K35" i="6" s="1"/>
  <c r="A35" i="6"/>
  <c r="AT34" i="6"/>
  <c r="AU34" i="6" s="1"/>
  <c r="AV34" i="6" s="1"/>
  <c r="AO34" i="6"/>
  <c r="AP34" i="6" s="1"/>
  <c r="AQ34" i="6" s="1"/>
  <c r="AF34" i="6"/>
  <c r="AG34" i="6" s="1"/>
  <c r="AH34" i="6" s="1"/>
  <c r="T34" i="6"/>
  <c r="U34" i="6" s="1"/>
  <c r="P34" i="6"/>
  <c r="Q34" i="6" s="1"/>
  <c r="R34" i="6" s="1"/>
  <c r="I34" i="6"/>
  <c r="J34" i="6" s="1"/>
  <c r="K34" i="6" s="1"/>
  <c r="A34" i="6"/>
  <c r="AT33" i="6"/>
  <c r="AU33" i="6" s="1"/>
  <c r="AV33" i="6" s="1"/>
  <c r="AO33" i="6"/>
  <c r="AP33" i="6" s="1"/>
  <c r="AQ33" i="6" s="1"/>
  <c r="AF33" i="6"/>
  <c r="AG33" i="6" s="1"/>
  <c r="AH33" i="6" s="1"/>
  <c r="T33" i="6"/>
  <c r="U33" i="6" s="1"/>
  <c r="P33" i="6"/>
  <c r="Q33" i="6" s="1"/>
  <c r="R33" i="6" s="1"/>
  <c r="I33" i="6"/>
  <c r="J33" i="6" s="1"/>
  <c r="K33" i="6" s="1"/>
  <c r="A33" i="6"/>
  <c r="AT32" i="6"/>
  <c r="AU32" i="6" s="1"/>
  <c r="AV32" i="6" s="1"/>
  <c r="AO32" i="6"/>
  <c r="AP32" i="6" s="1"/>
  <c r="AQ32" i="6" s="1"/>
  <c r="AF32" i="6"/>
  <c r="AG32" i="6" s="1"/>
  <c r="AH32" i="6" s="1"/>
  <c r="T32" i="6"/>
  <c r="U32" i="6" s="1"/>
  <c r="P32" i="6"/>
  <c r="Q32" i="6" s="1"/>
  <c r="R32" i="6" s="1"/>
  <c r="I32" i="6"/>
  <c r="J32" i="6" s="1"/>
  <c r="K32" i="6" s="1"/>
  <c r="A32" i="6"/>
  <c r="AT31" i="6"/>
  <c r="AU31" i="6" s="1"/>
  <c r="AV31" i="6" s="1"/>
  <c r="AO31" i="6"/>
  <c r="AP31" i="6" s="1"/>
  <c r="AQ31" i="6" s="1"/>
  <c r="AF31" i="6"/>
  <c r="AG31" i="6" s="1"/>
  <c r="AH31" i="6" s="1"/>
  <c r="T31" i="6"/>
  <c r="U31" i="6" s="1"/>
  <c r="P31" i="6"/>
  <c r="Q31" i="6" s="1"/>
  <c r="R31" i="6" s="1"/>
  <c r="I31" i="6"/>
  <c r="J31" i="6" s="1"/>
  <c r="K31" i="6" s="1"/>
  <c r="A31" i="6"/>
  <c r="AT30" i="6"/>
  <c r="AU30" i="6" s="1"/>
  <c r="AV30" i="6" s="1"/>
  <c r="AO30" i="6"/>
  <c r="AP30" i="6" s="1"/>
  <c r="AQ30" i="6" s="1"/>
  <c r="AF30" i="6"/>
  <c r="AG30" i="6" s="1"/>
  <c r="AH30" i="6" s="1"/>
  <c r="T30" i="6"/>
  <c r="U30" i="6" s="1"/>
  <c r="P30" i="6"/>
  <c r="Q30" i="6" s="1"/>
  <c r="R30" i="6" s="1"/>
  <c r="I30" i="6"/>
  <c r="J30" i="6" s="1"/>
  <c r="K30" i="6" s="1"/>
  <c r="A30" i="6"/>
  <c r="AT29" i="6"/>
  <c r="AU29" i="6" s="1"/>
  <c r="AV29" i="6" s="1"/>
  <c r="AO29" i="6"/>
  <c r="AP29" i="6" s="1"/>
  <c r="AQ29" i="6" s="1"/>
  <c r="AF29" i="6"/>
  <c r="AG29" i="6" s="1"/>
  <c r="AH29" i="6" s="1"/>
  <c r="T29" i="6"/>
  <c r="U29" i="6" s="1"/>
  <c r="P29" i="6"/>
  <c r="Q29" i="6" s="1"/>
  <c r="R29" i="6" s="1"/>
  <c r="I29" i="6"/>
  <c r="J29" i="6" s="1"/>
  <c r="K29" i="6" s="1"/>
  <c r="A29" i="6"/>
  <c r="AT28" i="6"/>
  <c r="AU28" i="6" s="1"/>
  <c r="AV28" i="6" s="1"/>
  <c r="AO28" i="6"/>
  <c r="AP28" i="6" s="1"/>
  <c r="AQ28" i="6" s="1"/>
  <c r="AF28" i="6"/>
  <c r="AG28" i="6" s="1"/>
  <c r="AH28" i="6" s="1"/>
  <c r="T28" i="6"/>
  <c r="U28" i="6" s="1"/>
  <c r="P28" i="6"/>
  <c r="Q28" i="6" s="1"/>
  <c r="R28" i="6" s="1"/>
  <c r="I28" i="6"/>
  <c r="J28" i="6" s="1"/>
  <c r="K28" i="6" s="1"/>
  <c r="A28" i="6"/>
  <c r="AT27" i="6"/>
  <c r="AU27" i="6" s="1"/>
  <c r="AV27" i="6" s="1"/>
  <c r="AO27" i="6"/>
  <c r="AP27" i="6" s="1"/>
  <c r="AQ27" i="6" s="1"/>
  <c r="AF27" i="6"/>
  <c r="AG27" i="6" s="1"/>
  <c r="AH27" i="6" s="1"/>
  <c r="T27" i="6"/>
  <c r="U27" i="6" s="1"/>
  <c r="P27" i="6"/>
  <c r="Q27" i="6" s="1"/>
  <c r="R27" i="6" s="1"/>
  <c r="I27" i="6"/>
  <c r="J27" i="6" s="1"/>
  <c r="K27" i="6" s="1"/>
  <c r="A27" i="6"/>
  <c r="AT26" i="6"/>
  <c r="AU26" i="6" s="1"/>
  <c r="AV26" i="6" s="1"/>
  <c r="AO26" i="6"/>
  <c r="AP26" i="6" s="1"/>
  <c r="AQ26" i="6" s="1"/>
  <c r="AF26" i="6"/>
  <c r="AG26" i="6" s="1"/>
  <c r="AH26" i="6" s="1"/>
  <c r="T26" i="6"/>
  <c r="U26" i="6" s="1"/>
  <c r="P26" i="6"/>
  <c r="Q26" i="6" s="1"/>
  <c r="R26" i="6" s="1"/>
  <c r="I26" i="6"/>
  <c r="J26" i="6" s="1"/>
  <c r="K26" i="6" s="1"/>
  <c r="A26" i="6"/>
  <c r="AT25" i="6"/>
  <c r="AU25" i="6" s="1"/>
  <c r="AV25" i="6" s="1"/>
  <c r="AO25" i="6"/>
  <c r="AP25" i="6" s="1"/>
  <c r="AQ25" i="6" s="1"/>
  <c r="AF25" i="6"/>
  <c r="AG25" i="6" s="1"/>
  <c r="AH25" i="6" s="1"/>
  <c r="T25" i="6"/>
  <c r="U25" i="6" s="1"/>
  <c r="P25" i="6"/>
  <c r="Q25" i="6" s="1"/>
  <c r="R25" i="6" s="1"/>
  <c r="I25" i="6"/>
  <c r="J25" i="6" s="1"/>
  <c r="K25" i="6" s="1"/>
  <c r="A25" i="6"/>
  <c r="AT24" i="6"/>
  <c r="AU24" i="6" s="1"/>
  <c r="AV24" i="6" s="1"/>
  <c r="AO24" i="6"/>
  <c r="AP24" i="6" s="1"/>
  <c r="AQ24" i="6" s="1"/>
  <c r="AF24" i="6"/>
  <c r="AG24" i="6" s="1"/>
  <c r="AH24" i="6" s="1"/>
  <c r="T24" i="6"/>
  <c r="U24" i="6" s="1"/>
  <c r="P24" i="6"/>
  <c r="Q24" i="6" s="1"/>
  <c r="R24" i="6" s="1"/>
  <c r="I24" i="6"/>
  <c r="J24" i="6" s="1"/>
  <c r="K24" i="6" s="1"/>
  <c r="A24" i="6"/>
  <c r="AT23" i="6"/>
  <c r="AU23" i="6" s="1"/>
  <c r="AV23" i="6" s="1"/>
  <c r="AO23" i="6"/>
  <c r="AP23" i="6" s="1"/>
  <c r="AQ23" i="6" s="1"/>
  <c r="AF23" i="6"/>
  <c r="AG23" i="6" s="1"/>
  <c r="AH23" i="6" s="1"/>
  <c r="T23" i="6"/>
  <c r="U23" i="6" s="1"/>
  <c r="P23" i="6"/>
  <c r="Q23" i="6" s="1"/>
  <c r="R23" i="6" s="1"/>
  <c r="I23" i="6"/>
  <c r="J23" i="6" s="1"/>
  <c r="K23" i="6" s="1"/>
  <c r="A23" i="6"/>
  <c r="AT22" i="6"/>
  <c r="AU22" i="6" s="1"/>
  <c r="AV22" i="6" s="1"/>
  <c r="AO22" i="6"/>
  <c r="AP22" i="6" s="1"/>
  <c r="AQ22" i="6" s="1"/>
  <c r="AF22" i="6"/>
  <c r="AG22" i="6" s="1"/>
  <c r="AH22" i="6" s="1"/>
  <c r="T22" i="6"/>
  <c r="U22" i="6" s="1"/>
  <c r="P22" i="6"/>
  <c r="Q22" i="6" s="1"/>
  <c r="R22" i="6" s="1"/>
  <c r="I22" i="6"/>
  <c r="J22" i="6" s="1"/>
  <c r="K22" i="6" s="1"/>
  <c r="A22" i="6"/>
  <c r="AT21" i="6"/>
  <c r="AU21" i="6" s="1"/>
  <c r="AV21" i="6" s="1"/>
  <c r="AO21" i="6"/>
  <c r="AP21" i="6" s="1"/>
  <c r="AQ21" i="6" s="1"/>
  <c r="AF21" i="6"/>
  <c r="AG21" i="6" s="1"/>
  <c r="AH21" i="6" s="1"/>
  <c r="P21" i="6"/>
  <c r="Q21" i="6" s="1"/>
  <c r="R21" i="6" s="1"/>
  <c r="I21" i="6"/>
  <c r="J21" i="6" s="1"/>
  <c r="K21" i="6" s="1"/>
  <c r="A21" i="6"/>
  <c r="AT20" i="6"/>
  <c r="AU20" i="6" s="1"/>
  <c r="AV20" i="6" s="1"/>
  <c r="AO20" i="6"/>
  <c r="AP20" i="6" s="1"/>
  <c r="AQ20" i="6" s="1"/>
  <c r="AF20" i="6"/>
  <c r="AG20" i="6" s="1"/>
  <c r="AH20" i="6" s="1"/>
  <c r="T20" i="6"/>
  <c r="U20" i="6" s="1"/>
  <c r="P20" i="6"/>
  <c r="Q20" i="6" s="1"/>
  <c r="R20" i="6" s="1"/>
  <c r="I20" i="6"/>
  <c r="J20" i="6" s="1"/>
  <c r="K20" i="6" s="1"/>
  <c r="A20" i="6"/>
  <c r="AT19" i="6"/>
  <c r="AU19" i="6" s="1"/>
  <c r="AV19" i="6" s="1"/>
  <c r="AO19" i="6"/>
  <c r="AP19" i="6" s="1"/>
  <c r="AQ19" i="6" s="1"/>
  <c r="AF19" i="6"/>
  <c r="AG19" i="6" s="1"/>
  <c r="AH19" i="6" s="1"/>
  <c r="T19" i="6"/>
  <c r="U19" i="6" s="1"/>
  <c r="P19" i="6"/>
  <c r="Q19" i="6" s="1"/>
  <c r="R19" i="6" s="1"/>
  <c r="I19" i="6"/>
  <c r="J19" i="6" s="1"/>
  <c r="K19" i="6" s="1"/>
  <c r="A19" i="6"/>
  <c r="AT18" i="6"/>
  <c r="AU18" i="6" s="1"/>
  <c r="AV18" i="6" s="1"/>
  <c r="AO18" i="6"/>
  <c r="AP18" i="6" s="1"/>
  <c r="AQ18" i="6" s="1"/>
  <c r="AF18" i="6"/>
  <c r="AG18" i="6" s="1"/>
  <c r="AH18" i="6" s="1"/>
  <c r="T18" i="6"/>
  <c r="U18" i="6" s="1"/>
  <c r="P18" i="6"/>
  <c r="Q18" i="6" s="1"/>
  <c r="R18" i="6" s="1"/>
  <c r="I18" i="6"/>
  <c r="J18" i="6" s="1"/>
  <c r="K18" i="6" s="1"/>
  <c r="A18" i="6"/>
  <c r="AT17" i="6"/>
  <c r="AU17" i="6" s="1"/>
  <c r="AV17" i="6" s="1"/>
  <c r="AO17" i="6"/>
  <c r="AP17" i="6" s="1"/>
  <c r="AQ17" i="6" s="1"/>
  <c r="AF17" i="6"/>
  <c r="AG17" i="6" s="1"/>
  <c r="AH17" i="6" s="1"/>
  <c r="T17" i="6"/>
  <c r="U17" i="6" s="1"/>
  <c r="P17" i="6"/>
  <c r="Q17" i="6" s="1"/>
  <c r="R17" i="6" s="1"/>
  <c r="I17" i="6"/>
  <c r="J17" i="6" s="1"/>
  <c r="K17" i="6" s="1"/>
  <c r="A17" i="6"/>
  <c r="AT16" i="6"/>
  <c r="AU16" i="6" s="1"/>
  <c r="AV16" i="6" s="1"/>
  <c r="AO16" i="6"/>
  <c r="AP16" i="6" s="1"/>
  <c r="AQ16" i="6" s="1"/>
  <c r="AF16" i="6"/>
  <c r="AG16" i="6" s="1"/>
  <c r="AH16" i="6" s="1"/>
  <c r="T16" i="6"/>
  <c r="U16" i="6" s="1"/>
  <c r="P16" i="6"/>
  <c r="Q16" i="6" s="1"/>
  <c r="R16" i="6" s="1"/>
  <c r="I16" i="6"/>
  <c r="J16" i="6" s="1"/>
  <c r="K16" i="6" s="1"/>
  <c r="A16" i="6"/>
  <c r="AT15" i="6"/>
  <c r="AU15" i="6" s="1"/>
  <c r="AV15" i="6" s="1"/>
  <c r="AO15" i="6"/>
  <c r="AP15" i="6" s="1"/>
  <c r="AQ15" i="6" s="1"/>
  <c r="AF15" i="6"/>
  <c r="AG15" i="6" s="1"/>
  <c r="AH15" i="6" s="1"/>
  <c r="T15" i="6"/>
  <c r="U15" i="6" s="1"/>
  <c r="P15" i="6"/>
  <c r="Q15" i="6" s="1"/>
  <c r="R15" i="6" s="1"/>
  <c r="I15" i="6"/>
  <c r="J15" i="6" s="1"/>
  <c r="K15" i="6" s="1"/>
  <c r="A15" i="6"/>
  <c r="AT14" i="6"/>
  <c r="AU14" i="6" s="1"/>
  <c r="AV14" i="6" s="1"/>
  <c r="AO14" i="6"/>
  <c r="AP14" i="6" s="1"/>
  <c r="AQ14" i="6" s="1"/>
  <c r="AF14" i="6"/>
  <c r="AG14" i="6" s="1"/>
  <c r="AH14" i="6" s="1"/>
  <c r="T14" i="6"/>
  <c r="U14" i="6" s="1"/>
  <c r="P14" i="6"/>
  <c r="Q14" i="6" s="1"/>
  <c r="R14" i="6" s="1"/>
  <c r="I14" i="6"/>
  <c r="J14" i="6" s="1"/>
  <c r="K14" i="6" s="1"/>
  <c r="A14" i="6"/>
  <c r="AT13" i="6"/>
  <c r="AU13" i="6" s="1"/>
  <c r="AV13" i="6" s="1"/>
  <c r="AO13" i="6"/>
  <c r="AP13" i="6" s="1"/>
  <c r="AQ13" i="6" s="1"/>
  <c r="AF13" i="6"/>
  <c r="AG13" i="6" s="1"/>
  <c r="AH13" i="6" s="1"/>
  <c r="T13" i="6"/>
  <c r="U13" i="6" s="1"/>
  <c r="P13" i="6"/>
  <c r="Q13" i="6" s="1"/>
  <c r="R13" i="6" s="1"/>
  <c r="I13" i="6"/>
  <c r="J13" i="6" s="1"/>
  <c r="K13" i="6" s="1"/>
  <c r="A13" i="6"/>
  <c r="AT12" i="6"/>
  <c r="AU12" i="6" s="1"/>
  <c r="AV12" i="6" s="1"/>
  <c r="AO12" i="6"/>
  <c r="AP12" i="6" s="1"/>
  <c r="AQ12" i="6" s="1"/>
  <c r="AF12" i="6"/>
  <c r="AG12" i="6" s="1"/>
  <c r="AH12" i="6" s="1"/>
  <c r="T12" i="6"/>
  <c r="U12" i="6" s="1"/>
  <c r="P12" i="6"/>
  <c r="Q12" i="6" s="1"/>
  <c r="R12" i="6" s="1"/>
  <c r="I12" i="6"/>
  <c r="J12" i="6" s="1"/>
  <c r="K12" i="6" s="1"/>
  <c r="A12" i="6"/>
  <c r="AT11" i="6"/>
  <c r="AU11" i="6" s="1"/>
  <c r="AV11" i="6" s="1"/>
  <c r="AO11" i="6"/>
  <c r="AP11" i="6" s="1"/>
  <c r="AQ11" i="6" s="1"/>
  <c r="AF11" i="6"/>
  <c r="AG11" i="6" s="1"/>
  <c r="AH11" i="6" s="1"/>
  <c r="T11" i="6"/>
  <c r="U11" i="6" s="1"/>
  <c r="P11" i="6"/>
  <c r="Q11" i="6" s="1"/>
  <c r="R11" i="6" s="1"/>
  <c r="I11" i="6"/>
  <c r="J11" i="6" s="1"/>
  <c r="K11" i="6" s="1"/>
  <c r="A11" i="6"/>
  <c r="AT10" i="6"/>
  <c r="AU10" i="6" s="1"/>
  <c r="AV10" i="6" s="1"/>
  <c r="AO10" i="6"/>
  <c r="AP10" i="6" s="1"/>
  <c r="AQ10" i="6" s="1"/>
  <c r="AF10" i="6"/>
  <c r="AG10" i="6" s="1"/>
  <c r="AH10" i="6" s="1"/>
  <c r="T10" i="6"/>
  <c r="U10" i="6" s="1"/>
  <c r="P10" i="6"/>
  <c r="Q10" i="6" s="1"/>
  <c r="R10" i="6" s="1"/>
  <c r="I10" i="6"/>
  <c r="J10" i="6" s="1"/>
  <c r="K10" i="6" s="1"/>
  <c r="A10" i="6"/>
  <c r="AT9" i="6"/>
  <c r="AU9" i="6" s="1"/>
  <c r="AV9" i="6" s="1"/>
  <c r="AO9" i="6"/>
  <c r="AP9" i="6" s="1"/>
  <c r="AQ9" i="6" s="1"/>
  <c r="AF9" i="6"/>
  <c r="AG9" i="6" s="1"/>
  <c r="AH9" i="6" s="1"/>
  <c r="T9" i="6"/>
  <c r="U9" i="6" s="1"/>
  <c r="P9" i="6"/>
  <c r="Q9" i="6" s="1"/>
  <c r="R9" i="6" s="1"/>
  <c r="I9" i="6"/>
  <c r="J9" i="6" s="1"/>
  <c r="K9" i="6" s="1"/>
  <c r="E9" i="6"/>
  <c r="B5" i="6"/>
  <c r="B4" i="6"/>
  <c r="B3" i="6"/>
  <c r="B2" i="6"/>
  <c r="B1" i="6"/>
  <c r="AT52" i="5"/>
  <c r="AU52" i="5" s="1"/>
  <c r="AV52" i="5" s="1"/>
  <c r="AO52" i="5"/>
  <c r="AP52" i="5" s="1"/>
  <c r="AQ52" i="5" s="1"/>
  <c r="AF52" i="5"/>
  <c r="AG52" i="5" s="1"/>
  <c r="AH52" i="5" s="1"/>
  <c r="T52" i="5"/>
  <c r="U52" i="5" s="1"/>
  <c r="P52" i="5"/>
  <c r="Q52" i="5" s="1"/>
  <c r="R52" i="5" s="1"/>
  <c r="I52" i="5"/>
  <c r="J52" i="5" s="1"/>
  <c r="K52" i="5" s="1"/>
  <c r="B52" i="5"/>
  <c r="A52" i="5"/>
  <c r="AT51" i="5"/>
  <c r="AU51" i="5" s="1"/>
  <c r="AV51" i="5" s="1"/>
  <c r="AO51" i="5"/>
  <c r="AP51" i="5" s="1"/>
  <c r="AQ51" i="5" s="1"/>
  <c r="AF51" i="5"/>
  <c r="AG51" i="5" s="1"/>
  <c r="AH51" i="5" s="1"/>
  <c r="T51" i="5"/>
  <c r="U51" i="5" s="1"/>
  <c r="P51" i="5"/>
  <c r="Q51" i="5" s="1"/>
  <c r="R51" i="5" s="1"/>
  <c r="I51" i="5"/>
  <c r="J51" i="5" s="1"/>
  <c r="K51" i="5" s="1"/>
  <c r="B51" i="5"/>
  <c r="A51" i="5"/>
  <c r="AT50" i="5"/>
  <c r="AU50" i="5" s="1"/>
  <c r="AV50" i="5" s="1"/>
  <c r="AO50" i="5"/>
  <c r="AP50" i="5" s="1"/>
  <c r="AQ50" i="5" s="1"/>
  <c r="AF50" i="5"/>
  <c r="AG50" i="5" s="1"/>
  <c r="AH50" i="5" s="1"/>
  <c r="T50" i="5"/>
  <c r="U50" i="5" s="1"/>
  <c r="P50" i="5"/>
  <c r="Q50" i="5" s="1"/>
  <c r="R50" i="5" s="1"/>
  <c r="I50" i="5"/>
  <c r="J50" i="5" s="1"/>
  <c r="K50" i="5" s="1"/>
  <c r="B50" i="5"/>
  <c r="A50" i="5"/>
  <c r="AT49" i="5"/>
  <c r="AU49" i="5" s="1"/>
  <c r="AV49" i="5" s="1"/>
  <c r="AO49" i="5"/>
  <c r="AP49" i="5" s="1"/>
  <c r="AQ49" i="5" s="1"/>
  <c r="AF49" i="5"/>
  <c r="AG49" i="5" s="1"/>
  <c r="AH49" i="5" s="1"/>
  <c r="T49" i="5"/>
  <c r="U49" i="5" s="1"/>
  <c r="P49" i="5"/>
  <c r="Q49" i="5" s="1"/>
  <c r="R49" i="5" s="1"/>
  <c r="I49" i="5"/>
  <c r="J49" i="5" s="1"/>
  <c r="K49" i="5" s="1"/>
  <c r="B49" i="5"/>
  <c r="A49" i="5"/>
  <c r="AT48" i="5"/>
  <c r="AU48" i="5" s="1"/>
  <c r="AV48" i="5" s="1"/>
  <c r="AO48" i="5"/>
  <c r="AP48" i="5" s="1"/>
  <c r="AQ48" i="5" s="1"/>
  <c r="AF48" i="5"/>
  <c r="AG48" i="5" s="1"/>
  <c r="AH48" i="5" s="1"/>
  <c r="T48" i="5"/>
  <c r="U48" i="5" s="1"/>
  <c r="P48" i="5"/>
  <c r="Q48" i="5" s="1"/>
  <c r="R48" i="5" s="1"/>
  <c r="I48" i="5"/>
  <c r="J48" i="5" s="1"/>
  <c r="K48" i="5" s="1"/>
  <c r="B48" i="5"/>
  <c r="A48" i="5"/>
  <c r="AT47" i="5"/>
  <c r="AU47" i="5" s="1"/>
  <c r="AV47" i="5" s="1"/>
  <c r="AO47" i="5"/>
  <c r="AP47" i="5" s="1"/>
  <c r="AQ47" i="5" s="1"/>
  <c r="AF47" i="5"/>
  <c r="AG47" i="5" s="1"/>
  <c r="AH47" i="5" s="1"/>
  <c r="T47" i="5"/>
  <c r="U47" i="5" s="1"/>
  <c r="P47" i="5"/>
  <c r="Q47" i="5" s="1"/>
  <c r="R47" i="5" s="1"/>
  <c r="I47" i="5"/>
  <c r="J47" i="5" s="1"/>
  <c r="K47" i="5" s="1"/>
  <c r="B47" i="5"/>
  <c r="A47" i="5"/>
  <c r="AT46" i="5"/>
  <c r="AU46" i="5" s="1"/>
  <c r="AV46" i="5" s="1"/>
  <c r="AO46" i="5"/>
  <c r="AP46" i="5" s="1"/>
  <c r="AQ46" i="5" s="1"/>
  <c r="AF46" i="5"/>
  <c r="AG46" i="5" s="1"/>
  <c r="AH46" i="5" s="1"/>
  <c r="T46" i="5"/>
  <c r="U46" i="5" s="1"/>
  <c r="P46" i="5"/>
  <c r="Q46" i="5" s="1"/>
  <c r="R46" i="5" s="1"/>
  <c r="I46" i="5"/>
  <c r="J46" i="5" s="1"/>
  <c r="K46" i="5" s="1"/>
  <c r="B46" i="5"/>
  <c r="A46" i="5"/>
  <c r="AT45" i="5"/>
  <c r="AU45" i="5" s="1"/>
  <c r="AV45" i="5" s="1"/>
  <c r="AO45" i="5"/>
  <c r="AP45" i="5" s="1"/>
  <c r="AQ45" i="5" s="1"/>
  <c r="AF45" i="5"/>
  <c r="AG45" i="5" s="1"/>
  <c r="AH45" i="5" s="1"/>
  <c r="T45" i="5"/>
  <c r="U45" i="5" s="1"/>
  <c r="P45" i="5"/>
  <c r="Q45" i="5" s="1"/>
  <c r="R45" i="5" s="1"/>
  <c r="I45" i="5"/>
  <c r="J45" i="5" s="1"/>
  <c r="K45" i="5" s="1"/>
  <c r="B45" i="5"/>
  <c r="A45" i="5"/>
  <c r="AT44" i="5"/>
  <c r="AU44" i="5" s="1"/>
  <c r="AV44" i="5" s="1"/>
  <c r="AO44" i="5"/>
  <c r="AP44" i="5" s="1"/>
  <c r="AQ44" i="5" s="1"/>
  <c r="AF44" i="5"/>
  <c r="AG44" i="5" s="1"/>
  <c r="AH44" i="5" s="1"/>
  <c r="T44" i="5"/>
  <c r="U44" i="5" s="1"/>
  <c r="P44" i="5"/>
  <c r="Q44" i="5" s="1"/>
  <c r="R44" i="5" s="1"/>
  <c r="I44" i="5"/>
  <c r="J44" i="5" s="1"/>
  <c r="K44" i="5" s="1"/>
  <c r="B44" i="5"/>
  <c r="A44" i="5"/>
  <c r="AT43" i="5"/>
  <c r="AU43" i="5" s="1"/>
  <c r="AV43" i="5" s="1"/>
  <c r="AO43" i="5"/>
  <c r="AP43" i="5" s="1"/>
  <c r="AQ43" i="5" s="1"/>
  <c r="AF43" i="5"/>
  <c r="AG43" i="5" s="1"/>
  <c r="AH43" i="5" s="1"/>
  <c r="T43" i="5"/>
  <c r="U43" i="5" s="1"/>
  <c r="P43" i="5"/>
  <c r="Q43" i="5" s="1"/>
  <c r="R43" i="5" s="1"/>
  <c r="I43" i="5"/>
  <c r="J43" i="5" s="1"/>
  <c r="K43" i="5" s="1"/>
  <c r="B43" i="5"/>
  <c r="A43" i="5"/>
  <c r="AT42" i="5"/>
  <c r="AU42" i="5" s="1"/>
  <c r="AV42" i="5" s="1"/>
  <c r="AO42" i="5"/>
  <c r="AP42" i="5" s="1"/>
  <c r="AQ42" i="5" s="1"/>
  <c r="AF42" i="5"/>
  <c r="AG42" i="5" s="1"/>
  <c r="AH42" i="5" s="1"/>
  <c r="T42" i="5"/>
  <c r="U42" i="5" s="1"/>
  <c r="P42" i="5"/>
  <c r="Q42" i="5" s="1"/>
  <c r="R42" i="5" s="1"/>
  <c r="I42" i="5"/>
  <c r="J42" i="5" s="1"/>
  <c r="K42" i="5" s="1"/>
  <c r="B42" i="5"/>
  <c r="A42" i="5"/>
  <c r="AT41" i="5"/>
  <c r="AU41" i="5" s="1"/>
  <c r="AV41" i="5" s="1"/>
  <c r="AO41" i="5"/>
  <c r="AP41" i="5" s="1"/>
  <c r="AQ41" i="5" s="1"/>
  <c r="AF41" i="5"/>
  <c r="AG41" i="5" s="1"/>
  <c r="AH41" i="5" s="1"/>
  <c r="T41" i="5"/>
  <c r="U41" i="5" s="1"/>
  <c r="P41" i="5"/>
  <c r="Q41" i="5" s="1"/>
  <c r="R41" i="5" s="1"/>
  <c r="I41" i="5"/>
  <c r="J41" i="5" s="1"/>
  <c r="K41" i="5" s="1"/>
  <c r="B41" i="5"/>
  <c r="A41" i="5"/>
  <c r="AT40" i="5"/>
  <c r="AU40" i="5" s="1"/>
  <c r="AV40" i="5" s="1"/>
  <c r="AO40" i="5"/>
  <c r="AP40" i="5" s="1"/>
  <c r="AQ40" i="5" s="1"/>
  <c r="AF40" i="5"/>
  <c r="AG40" i="5" s="1"/>
  <c r="AH40" i="5" s="1"/>
  <c r="T40" i="5"/>
  <c r="U40" i="5" s="1"/>
  <c r="P40" i="5"/>
  <c r="Q40" i="5" s="1"/>
  <c r="R40" i="5" s="1"/>
  <c r="I40" i="5"/>
  <c r="J40" i="5" s="1"/>
  <c r="K40" i="5" s="1"/>
  <c r="B40" i="5"/>
  <c r="A40" i="5"/>
  <c r="AT39" i="5"/>
  <c r="AU39" i="5" s="1"/>
  <c r="AV39" i="5" s="1"/>
  <c r="AO39" i="5"/>
  <c r="AP39" i="5" s="1"/>
  <c r="AQ39" i="5" s="1"/>
  <c r="AF39" i="5"/>
  <c r="AG39" i="5" s="1"/>
  <c r="AH39" i="5" s="1"/>
  <c r="T39" i="5"/>
  <c r="U39" i="5" s="1"/>
  <c r="P39" i="5"/>
  <c r="Q39" i="5" s="1"/>
  <c r="R39" i="5" s="1"/>
  <c r="I39" i="5"/>
  <c r="J39" i="5" s="1"/>
  <c r="K39" i="5" s="1"/>
  <c r="B39" i="5"/>
  <c r="A39" i="5"/>
  <c r="AT38" i="5"/>
  <c r="AU38" i="5" s="1"/>
  <c r="AV38" i="5" s="1"/>
  <c r="AO38" i="5"/>
  <c r="AP38" i="5" s="1"/>
  <c r="AQ38" i="5" s="1"/>
  <c r="AF38" i="5"/>
  <c r="AG38" i="5" s="1"/>
  <c r="AH38" i="5" s="1"/>
  <c r="T38" i="5"/>
  <c r="U38" i="5" s="1"/>
  <c r="P38" i="5"/>
  <c r="Q38" i="5" s="1"/>
  <c r="R38" i="5" s="1"/>
  <c r="I38" i="5"/>
  <c r="J38" i="5" s="1"/>
  <c r="K38" i="5" s="1"/>
  <c r="B38" i="5"/>
  <c r="A38" i="5"/>
  <c r="AT37" i="5"/>
  <c r="AU37" i="5" s="1"/>
  <c r="AV37" i="5" s="1"/>
  <c r="AO37" i="5"/>
  <c r="AP37" i="5" s="1"/>
  <c r="AQ37" i="5" s="1"/>
  <c r="AF37" i="5"/>
  <c r="AG37" i="5" s="1"/>
  <c r="AH37" i="5" s="1"/>
  <c r="T37" i="5"/>
  <c r="U37" i="5" s="1"/>
  <c r="P37" i="5"/>
  <c r="Q37" i="5" s="1"/>
  <c r="R37" i="5" s="1"/>
  <c r="I37" i="5"/>
  <c r="J37" i="5" s="1"/>
  <c r="K37" i="5" s="1"/>
  <c r="B37" i="5"/>
  <c r="A37" i="5"/>
  <c r="AT36" i="5"/>
  <c r="AU36" i="5" s="1"/>
  <c r="AV36" i="5" s="1"/>
  <c r="AO36" i="5"/>
  <c r="AP36" i="5" s="1"/>
  <c r="AQ36" i="5" s="1"/>
  <c r="AF36" i="5"/>
  <c r="AG36" i="5" s="1"/>
  <c r="AH36" i="5" s="1"/>
  <c r="T36" i="5"/>
  <c r="U36" i="5" s="1"/>
  <c r="P36" i="5"/>
  <c r="Q36" i="5" s="1"/>
  <c r="R36" i="5" s="1"/>
  <c r="I36" i="5"/>
  <c r="J36" i="5" s="1"/>
  <c r="K36" i="5" s="1"/>
  <c r="B36" i="5"/>
  <c r="A36" i="5"/>
  <c r="AT35" i="5"/>
  <c r="AU35" i="5" s="1"/>
  <c r="AV35" i="5" s="1"/>
  <c r="AO35" i="5"/>
  <c r="AP35" i="5" s="1"/>
  <c r="AQ35" i="5" s="1"/>
  <c r="AF35" i="5"/>
  <c r="AG35" i="5" s="1"/>
  <c r="AH35" i="5" s="1"/>
  <c r="T35" i="5"/>
  <c r="U35" i="5" s="1"/>
  <c r="P35" i="5"/>
  <c r="Q35" i="5" s="1"/>
  <c r="R35" i="5" s="1"/>
  <c r="I35" i="5"/>
  <c r="J35" i="5" s="1"/>
  <c r="K35" i="5" s="1"/>
  <c r="B35" i="5"/>
  <c r="A35" i="5"/>
  <c r="AT34" i="5"/>
  <c r="AU34" i="5" s="1"/>
  <c r="AV34" i="5" s="1"/>
  <c r="AO34" i="5"/>
  <c r="AP34" i="5" s="1"/>
  <c r="AQ34" i="5" s="1"/>
  <c r="AF34" i="5"/>
  <c r="AG34" i="5" s="1"/>
  <c r="AH34" i="5" s="1"/>
  <c r="T34" i="5"/>
  <c r="U34" i="5" s="1"/>
  <c r="P34" i="5"/>
  <c r="Q34" i="5" s="1"/>
  <c r="R34" i="5" s="1"/>
  <c r="I34" i="5"/>
  <c r="J34" i="5" s="1"/>
  <c r="K34" i="5" s="1"/>
  <c r="B34" i="5"/>
  <c r="A34" i="5"/>
  <c r="AU33" i="5"/>
  <c r="AV33" i="5" s="1"/>
  <c r="AT33" i="5"/>
  <c r="AO33" i="5"/>
  <c r="AP33" i="5" s="1"/>
  <c r="AQ33" i="5" s="1"/>
  <c r="AF33" i="5"/>
  <c r="AG33" i="5" s="1"/>
  <c r="AH33" i="5" s="1"/>
  <c r="T33" i="5"/>
  <c r="U33" i="5" s="1"/>
  <c r="P33" i="5"/>
  <c r="Q33" i="5" s="1"/>
  <c r="R33" i="5" s="1"/>
  <c r="J33" i="5"/>
  <c r="K33" i="5" s="1"/>
  <c r="I33" i="5"/>
  <c r="B33" i="5"/>
  <c r="A33" i="5"/>
  <c r="AT32" i="5"/>
  <c r="AU32" i="5" s="1"/>
  <c r="AV32" i="5" s="1"/>
  <c r="AO32" i="5"/>
  <c r="AP32" i="5" s="1"/>
  <c r="AQ32" i="5" s="1"/>
  <c r="AF32" i="5"/>
  <c r="AG32" i="5" s="1"/>
  <c r="AH32" i="5" s="1"/>
  <c r="T32" i="5"/>
  <c r="U32" i="5" s="1"/>
  <c r="P32" i="5"/>
  <c r="Q32" i="5" s="1"/>
  <c r="R32" i="5" s="1"/>
  <c r="I32" i="5"/>
  <c r="J32" i="5" s="1"/>
  <c r="K32" i="5" s="1"/>
  <c r="B32" i="5"/>
  <c r="A32" i="5"/>
  <c r="AT31" i="5"/>
  <c r="AU31" i="5" s="1"/>
  <c r="AV31" i="5" s="1"/>
  <c r="AO31" i="5"/>
  <c r="AP31" i="5" s="1"/>
  <c r="AQ31" i="5" s="1"/>
  <c r="AF31" i="5"/>
  <c r="AG31" i="5" s="1"/>
  <c r="AH31" i="5" s="1"/>
  <c r="T31" i="5"/>
  <c r="U31" i="5" s="1"/>
  <c r="P31" i="5"/>
  <c r="Q31" i="5" s="1"/>
  <c r="R31" i="5" s="1"/>
  <c r="I31" i="5"/>
  <c r="J31" i="5" s="1"/>
  <c r="K31" i="5" s="1"/>
  <c r="B31" i="5"/>
  <c r="A31" i="5"/>
  <c r="AT30" i="5"/>
  <c r="AU30" i="5" s="1"/>
  <c r="AV30" i="5" s="1"/>
  <c r="AO30" i="5"/>
  <c r="AP30" i="5" s="1"/>
  <c r="AQ30" i="5" s="1"/>
  <c r="AF30" i="5"/>
  <c r="AG30" i="5" s="1"/>
  <c r="AH30" i="5" s="1"/>
  <c r="T30" i="5"/>
  <c r="U30" i="5" s="1"/>
  <c r="P30" i="5"/>
  <c r="Q30" i="5" s="1"/>
  <c r="R30" i="5" s="1"/>
  <c r="I30" i="5"/>
  <c r="J30" i="5" s="1"/>
  <c r="K30" i="5" s="1"/>
  <c r="B30" i="5"/>
  <c r="A30" i="5"/>
  <c r="AT29" i="5"/>
  <c r="AU29" i="5" s="1"/>
  <c r="AV29" i="5" s="1"/>
  <c r="AO29" i="5"/>
  <c r="AP29" i="5" s="1"/>
  <c r="AQ29" i="5" s="1"/>
  <c r="AF29" i="5"/>
  <c r="AG29" i="5" s="1"/>
  <c r="AH29" i="5" s="1"/>
  <c r="T29" i="5"/>
  <c r="U29" i="5" s="1"/>
  <c r="P29" i="5"/>
  <c r="Q29" i="5" s="1"/>
  <c r="R29" i="5" s="1"/>
  <c r="J29" i="5"/>
  <c r="K29" i="5" s="1"/>
  <c r="I29" i="5"/>
  <c r="B29" i="5"/>
  <c r="A29" i="5"/>
  <c r="AT28" i="5"/>
  <c r="AU28" i="5" s="1"/>
  <c r="AV28" i="5" s="1"/>
  <c r="AO28" i="5"/>
  <c r="AP28" i="5" s="1"/>
  <c r="AQ28" i="5" s="1"/>
  <c r="AF28" i="5"/>
  <c r="AG28" i="5" s="1"/>
  <c r="AH28" i="5" s="1"/>
  <c r="T28" i="5"/>
  <c r="U28" i="5" s="1"/>
  <c r="P28" i="5"/>
  <c r="Q28" i="5" s="1"/>
  <c r="R28" i="5" s="1"/>
  <c r="I28" i="5"/>
  <c r="J28" i="5" s="1"/>
  <c r="K28" i="5" s="1"/>
  <c r="B28" i="5"/>
  <c r="A28" i="5"/>
  <c r="AT27" i="5"/>
  <c r="AU27" i="5" s="1"/>
  <c r="AV27" i="5" s="1"/>
  <c r="AO27" i="5"/>
  <c r="AP27" i="5" s="1"/>
  <c r="AQ27" i="5" s="1"/>
  <c r="AF27" i="5"/>
  <c r="AG27" i="5" s="1"/>
  <c r="AH27" i="5" s="1"/>
  <c r="T27" i="5"/>
  <c r="U27" i="5" s="1"/>
  <c r="P27" i="5"/>
  <c r="Q27" i="5" s="1"/>
  <c r="R27" i="5" s="1"/>
  <c r="I27" i="5"/>
  <c r="J27" i="5" s="1"/>
  <c r="K27" i="5" s="1"/>
  <c r="B27" i="5"/>
  <c r="A27" i="5"/>
  <c r="AT26" i="5"/>
  <c r="AU26" i="5" s="1"/>
  <c r="AV26" i="5" s="1"/>
  <c r="AO26" i="5"/>
  <c r="AP26" i="5" s="1"/>
  <c r="AQ26" i="5" s="1"/>
  <c r="AF26" i="5"/>
  <c r="AG26" i="5" s="1"/>
  <c r="AH26" i="5" s="1"/>
  <c r="T26" i="5"/>
  <c r="U26" i="5" s="1"/>
  <c r="P26" i="5"/>
  <c r="Q26" i="5" s="1"/>
  <c r="R26" i="5" s="1"/>
  <c r="I26" i="5"/>
  <c r="J26" i="5" s="1"/>
  <c r="K26" i="5" s="1"/>
  <c r="B26" i="5"/>
  <c r="A26" i="5"/>
  <c r="AT25" i="5"/>
  <c r="AU25" i="5" s="1"/>
  <c r="AV25" i="5" s="1"/>
  <c r="AO25" i="5"/>
  <c r="AP25" i="5" s="1"/>
  <c r="AQ25" i="5" s="1"/>
  <c r="AF25" i="5"/>
  <c r="AG25" i="5" s="1"/>
  <c r="AH25" i="5" s="1"/>
  <c r="T25" i="5"/>
  <c r="U25" i="5" s="1"/>
  <c r="P25" i="5"/>
  <c r="Q25" i="5" s="1"/>
  <c r="R25" i="5" s="1"/>
  <c r="I25" i="5"/>
  <c r="J25" i="5" s="1"/>
  <c r="K25" i="5" s="1"/>
  <c r="B25" i="5"/>
  <c r="A25" i="5"/>
  <c r="AT24" i="5"/>
  <c r="AU24" i="5" s="1"/>
  <c r="AV24" i="5" s="1"/>
  <c r="AO24" i="5"/>
  <c r="AP24" i="5" s="1"/>
  <c r="AQ24" i="5" s="1"/>
  <c r="AF24" i="5"/>
  <c r="AG24" i="5" s="1"/>
  <c r="AH24" i="5" s="1"/>
  <c r="T24" i="5"/>
  <c r="U24" i="5" s="1"/>
  <c r="P24" i="5"/>
  <c r="Q24" i="5" s="1"/>
  <c r="R24" i="5" s="1"/>
  <c r="I24" i="5"/>
  <c r="J24" i="5" s="1"/>
  <c r="K24" i="5" s="1"/>
  <c r="B24" i="5"/>
  <c r="A24" i="5"/>
  <c r="AT23" i="5"/>
  <c r="AU23" i="5" s="1"/>
  <c r="AV23" i="5" s="1"/>
  <c r="AO23" i="5"/>
  <c r="AP23" i="5" s="1"/>
  <c r="AQ23" i="5" s="1"/>
  <c r="AF23" i="5"/>
  <c r="AG23" i="5" s="1"/>
  <c r="AH23" i="5" s="1"/>
  <c r="T23" i="5"/>
  <c r="U23" i="5" s="1"/>
  <c r="P23" i="5"/>
  <c r="Q23" i="5" s="1"/>
  <c r="R23" i="5" s="1"/>
  <c r="J23" i="5"/>
  <c r="K23" i="5" s="1"/>
  <c r="I23" i="5"/>
  <c r="B23" i="5"/>
  <c r="A23" i="5"/>
  <c r="AT22" i="5"/>
  <c r="AU22" i="5" s="1"/>
  <c r="AV22" i="5" s="1"/>
  <c r="AO22" i="5"/>
  <c r="AP22" i="5" s="1"/>
  <c r="AQ22" i="5" s="1"/>
  <c r="AF22" i="5"/>
  <c r="AG22" i="5" s="1"/>
  <c r="AH22" i="5" s="1"/>
  <c r="U22" i="5"/>
  <c r="T22" i="5"/>
  <c r="P22" i="5"/>
  <c r="Q22" i="5" s="1"/>
  <c r="R22" i="5" s="1"/>
  <c r="I22" i="5"/>
  <c r="J22" i="5" s="1"/>
  <c r="K22" i="5" s="1"/>
  <c r="B22" i="5"/>
  <c r="A22" i="5"/>
  <c r="AT21" i="5"/>
  <c r="AU21" i="5" s="1"/>
  <c r="AV21" i="5" s="1"/>
  <c r="AO21" i="5"/>
  <c r="AP21" i="5" s="1"/>
  <c r="AQ21" i="5" s="1"/>
  <c r="AF21" i="5"/>
  <c r="AG21" i="5" s="1"/>
  <c r="AH21" i="5" s="1"/>
  <c r="T21" i="5"/>
  <c r="U21" i="5" s="1"/>
  <c r="P21" i="5"/>
  <c r="Q21" i="5" s="1"/>
  <c r="R21" i="5" s="1"/>
  <c r="I21" i="5"/>
  <c r="J21" i="5" s="1"/>
  <c r="K21" i="5" s="1"/>
  <c r="B21" i="5"/>
  <c r="A21" i="5"/>
  <c r="AT20" i="5"/>
  <c r="AU20" i="5" s="1"/>
  <c r="AV20" i="5" s="1"/>
  <c r="AO20" i="5"/>
  <c r="AP20" i="5" s="1"/>
  <c r="AQ20" i="5" s="1"/>
  <c r="AF20" i="5"/>
  <c r="AG20" i="5" s="1"/>
  <c r="AH20" i="5" s="1"/>
  <c r="T20" i="5"/>
  <c r="U20" i="5" s="1"/>
  <c r="P20" i="5"/>
  <c r="Q20" i="5" s="1"/>
  <c r="R20" i="5" s="1"/>
  <c r="I20" i="5"/>
  <c r="J20" i="5" s="1"/>
  <c r="K20" i="5" s="1"/>
  <c r="B20" i="5"/>
  <c r="A20" i="5"/>
  <c r="AT19" i="5"/>
  <c r="AU19" i="5" s="1"/>
  <c r="AV19" i="5" s="1"/>
  <c r="AO19" i="5"/>
  <c r="AP19" i="5" s="1"/>
  <c r="AQ19" i="5" s="1"/>
  <c r="AF19" i="5"/>
  <c r="AG19" i="5" s="1"/>
  <c r="AH19" i="5" s="1"/>
  <c r="T19" i="5"/>
  <c r="U19" i="5" s="1"/>
  <c r="P19" i="5"/>
  <c r="Q19" i="5" s="1"/>
  <c r="R19" i="5" s="1"/>
  <c r="I19" i="5"/>
  <c r="J19" i="5" s="1"/>
  <c r="K19" i="5" s="1"/>
  <c r="B19" i="5"/>
  <c r="A19" i="5"/>
  <c r="AT18" i="5"/>
  <c r="AU18" i="5" s="1"/>
  <c r="AV18" i="5" s="1"/>
  <c r="AO18" i="5"/>
  <c r="AP18" i="5" s="1"/>
  <c r="AF18" i="5"/>
  <c r="AG18" i="5" s="1"/>
  <c r="AH18" i="5" s="1"/>
  <c r="U18" i="5"/>
  <c r="T18" i="5"/>
  <c r="P18" i="5"/>
  <c r="Q18" i="5" s="1"/>
  <c r="R18" i="5" s="1"/>
  <c r="I18" i="5"/>
  <c r="J18" i="5" s="1"/>
  <c r="K18" i="5" s="1"/>
  <c r="B18" i="5"/>
  <c r="A18" i="5"/>
  <c r="AT17" i="5"/>
  <c r="AU17" i="5" s="1"/>
  <c r="AV17" i="5" s="1"/>
  <c r="AO17" i="5"/>
  <c r="AP17" i="5" s="1"/>
  <c r="AQ17" i="5" s="1"/>
  <c r="AF17" i="5"/>
  <c r="AG17" i="5" s="1"/>
  <c r="AH17" i="5" s="1"/>
  <c r="T17" i="5"/>
  <c r="U17" i="5" s="1"/>
  <c r="P17" i="5"/>
  <c r="Q17" i="5" s="1"/>
  <c r="R17" i="5" s="1"/>
  <c r="I17" i="5"/>
  <c r="J17" i="5" s="1"/>
  <c r="K17" i="5" s="1"/>
  <c r="B17" i="5"/>
  <c r="A17" i="5"/>
  <c r="AT16" i="5"/>
  <c r="AU16" i="5" s="1"/>
  <c r="AV16" i="5" s="1"/>
  <c r="AO16" i="5"/>
  <c r="AP16" i="5" s="1"/>
  <c r="AQ16" i="5" s="1"/>
  <c r="AF16" i="5"/>
  <c r="AG16" i="5" s="1"/>
  <c r="AH16" i="5" s="1"/>
  <c r="T16" i="5"/>
  <c r="U16" i="5" s="1"/>
  <c r="P16" i="5"/>
  <c r="Q16" i="5" s="1"/>
  <c r="R16" i="5" s="1"/>
  <c r="I16" i="5"/>
  <c r="J16" i="5" s="1"/>
  <c r="K16" i="5" s="1"/>
  <c r="B16" i="5"/>
  <c r="A16" i="5"/>
  <c r="AT15" i="5"/>
  <c r="AU15" i="5" s="1"/>
  <c r="AV15" i="5" s="1"/>
  <c r="AO15" i="5"/>
  <c r="AP15" i="5" s="1"/>
  <c r="AQ15" i="5" s="1"/>
  <c r="AF15" i="5"/>
  <c r="AG15" i="5" s="1"/>
  <c r="AH15" i="5" s="1"/>
  <c r="T15" i="5"/>
  <c r="U15" i="5" s="1"/>
  <c r="P15" i="5"/>
  <c r="Q15" i="5" s="1"/>
  <c r="R15" i="5" s="1"/>
  <c r="I15" i="5"/>
  <c r="J15" i="5" s="1"/>
  <c r="K15" i="5" s="1"/>
  <c r="B15" i="5"/>
  <c r="A15" i="5"/>
  <c r="AT14" i="5"/>
  <c r="AU14" i="5" s="1"/>
  <c r="AV14" i="5" s="1"/>
  <c r="AO14" i="5"/>
  <c r="AP14" i="5" s="1"/>
  <c r="AQ14" i="5" s="1"/>
  <c r="AF14" i="5"/>
  <c r="AG14" i="5" s="1"/>
  <c r="AH14" i="5" s="1"/>
  <c r="U14" i="5"/>
  <c r="T14" i="5"/>
  <c r="P14" i="5"/>
  <c r="Q14" i="5" s="1"/>
  <c r="R14" i="5" s="1"/>
  <c r="I14" i="5"/>
  <c r="J14" i="5" s="1"/>
  <c r="K14" i="5" s="1"/>
  <c r="B14" i="5"/>
  <c r="A14" i="5"/>
  <c r="AT13" i="5"/>
  <c r="AU13" i="5" s="1"/>
  <c r="AV13" i="5" s="1"/>
  <c r="AO13" i="5"/>
  <c r="AP13" i="5" s="1"/>
  <c r="AQ13" i="5" s="1"/>
  <c r="AF13" i="5"/>
  <c r="AG13" i="5" s="1"/>
  <c r="AH13" i="5" s="1"/>
  <c r="T13" i="5"/>
  <c r="U13" i="5" s="1"/>
  <c r="P13" i="5"/>
  <c r="Q13" i="5" s="1"/>
  <c r="R13" i="5" s="1"/>
  <c r="J13" i="5"/>
  <c r="K13" i="5" s="1"/>
  <c r="I13" i="5"/>
  <c r="B13" i="5"/>
  <c r="A13" i="5"/>
  <c r="AT12" i="5"/>
  <c r="AU12" i="5" s="1"/>
  <c r="AV12" i="5" s="1"/>
  <c r="AO12" i="5"/>
  <c r="AP12" i="5" s="1"/>
  <c r="AQ12" i="5" s="1"/>
  <c r="AF12" i="5"/>
  <c r="AG12" i="5" s="1"/>
  <c r="AH12" i="5" s="1"/>
  <c r="T12" i="5"/>
  <c r="U12" i="5" s="1"/>
  <c r="P12" i="5"/>
  <c r="Q12" i="5" s="1"/>
  <c r="R12" i="5" s="1"/>
  <c r="I12" i="5"/>
  <c r="J12" i="5" s="1"/>
  <c r="K12" i="5" s="1"/>
  <c r="B12" i="5"/>
  <c r="A12" i="5"/>
  <c r="AT11" i="5"/>
  <c r="AU11" i="5" s="1"/>
  <c r="AV11" i="5" s="1"/>
  <c r="AO11" i="5"/>
  <c r="AP11" i="5" s="1"/>
  <c r="AQ11" i="5" s="1"/>
  <c r="AF11" i="5"/>
  <c r="AG11" i="5" s="1"/>
  <c r="AH11" i="5" s="1"/>
  <c r="T11" i="5"/>
  <c r="U11" i="5" s="1"/>
  <c r="P11" i="5"/>
  <c r="Q11" i="5" s="1"/>
  <c r="R11" i="5" s="1"/>
  <c r="I11" i="5"/>
  <c r="J11" i="5" s="1"/>
  <c r="K11" i="5" s="1"/>
  <c r="B11" i="5"/>
  <c r="A11" i="5"/>
  <c r="AT10" i="5"/>
  <c r="AU10" i="5" s="1"/>
  <c r="AV10" i="5" s="1"/>
  <c r="AO10" i="5"/>
  <c r="AP10" i="5" s="1"/>
  <c r="AQ10" i="5" s="1"/>
  <c r="AF10" i="5"/>
  <c r="AG10" i="5" s="1"/>
  <c r="AH10" i="5" s="1"/>
  <c r="U10" i="5"/>
  <c r="T10" i="5"/>
  <c r="P10" i="5"/>
  <c r="Q10" i="5" s="1"/>
  <c r="R10" i="5" s="1"/>
  <c r="I10" i="5"/>
  <c r="J10" i="5" s="1"/>
  <c r="K10" i="5" s="1"/>
  <c r="B10" i="5"/>
  <c r="A10" i="5"/>
  <c r="AT9" i="5"/>
  <c r="AU9" i="5" s="1"/>
  <c r="AV9" i="5" s="1"/>
  <c r="AO9" i="5"/>
  <c r="AP9" i="5" s="1"/>
  <c r="AQ9" i="5" s="1"/>
  <c r="AF9" i="5"/>
  <c r="AG9" i="5" s="1"/>
  <c r="AH9" i="5" s="1"/>
  <c r="T9" i="5"/>
  <c r="U9" i="5" s="1"/>
  <c r="P9" i="5"/>
  <c r="Q9" i="5" s="1"/>
  <c r="R9" i="5" s="1"/>
  <c r="I9" i="5"/>
  <c r="J9" i="5" s="1"/>
  <c r="K9" i="5" s="1"/>
  <c r="E9" i="5"/>
  <c r="D9" i="5"/>
  <c r="B5" i="5"/>
  <c r="B4" i="5"/>
  <c r="B3" i="5"/>
  <c r="B2" i="5"/>
  <c r="B1" i="5"/>
  <c r="AT52" i="3"/>
  <c r="AU52" i="3" s="1"/>
  <c r="AV52" i="3" s="1"/>
  <c r="AO52" i="3"/>
  <c r="AP52" i="3" s="1"/>
  <c r="AQ52" i="3" s="1"/>
  <c r="AF52" i="3"/>
  <c r="AG52" i="3" s="1"/>
  <c r="AH52" i="3" s="1"/>
  <c r="AW52" i="3" s="1"/>
  <c r="T52" i="3"/>
  <c r="U52" i="3" s="1"/>
  <c r="P52" i="3"/>
  <c r="Q52" i="3" s="1"/>
  <c r="R52" i="3" s="1"/>
  <c r="I52" i="3"/>
  <c r="J52" i="3" s="1"/>
  <c r="K52" i="3" s="1"/>
  <c r="B52" i="3"/>
  <c r="A52" i="3"/>
  <c r="AT51" i="3"/>
  <c r="AU51" i="3" s="1"/>
  <c r="AV51" i="3" s="1"/>
  <c r="AO51" i="3"/>
  <c r="AP51" i="3" s="1"/>
  <c r="AQ51" i="3" s="1"/>
  <c r="AF51" i="3"/>
  <c r="AG51" i="3" s="1"/>
  <c r="AH51" i="3" s="1"/>
  <c r="T51" i="3"/>
  <c r="U51" i="3" s="1"/>
  <c r="P51" i="3"/>
  <c r="Q51" i="3" s="1"/>
  <c r="R51" i="3" s="1"/>
  <c r="I51" i="3"/>
  <c r="J51" i="3" s="1"/>
  <c r="K51" i="3" s="1"/>
  <c r="B51" i="3"/>
  <c r="A51" i="3"/>
  <c r="AT50" i="3"/>
  <c r="AU50" i="3" s="1"/>
  <c r="AV50" i="3" s="1"/>
  <c r="AO50" i="3"/>
  <c r="AP50" i="3" s="1"/>
  <c r="AQ50" i="3" s="1"/>
  <c r="AF50" i="3"/>
  <c r="AG50" i="3" s="1"/>
  <c r="AH50" i="3" s="1"/>
  <c r="T50" i="3"/>
  <c r="U50" i="3" s="1"/>
  <c r="P50" i="3"/>
  <c r="Q50" i="3" s="1"/>
  <c r="R50" i="3" s="1"/>
  <c r="I50" i="3"/>
  <c r="J50" i="3" s="1"/>
  <c r="K50" i="3" s="1"/>
  <c r="B50" i="3"/>
  <c r="A50" i="3"/>
  <c r="AT49" i="3"/>
  <c r="AU49" i="3" s="1"/>
  <c r="AV49" i="3" s="1"/>
  <c r="AO49" i="3"/>
  <c r="AP49" i="3" s="1"/>
  <c r="AQ49" i="3" s="1"/>
  <c r="AF49" i="3"/>
  <c r="AG49" i="3" s="1"/>
  <c r="AH49" i="3" s="1"/>
  <c r="T49" i="3"/>
  <c r="U49" i="3" s="1"/>
  <c r="P49" i="3"/>
  <c r="Q49" i="3" s="1"/>
  <c r="R49" i="3" s="1"/>
  <c r="I49" i="3"/>
  <c r="J49" i="3" s="1"/>
  <c r="K49" i="3" s="1"/>
  <c r="B49" i="3"/>
  <c r="A49" i="3"/>
  <c r="AT48" i="3"/>
  <c r="AU48" i="3" s="1"/>
  <c r="AV48" i="3" s="1"/>
  <c r="AO48" i="3"/>
  <c r="AP48" i="3" s="1"/>
  <c r="AQ48" i="3" s="1"/>
  <c r="AF48" i="3"/>
  <c r="AG48" i="3" s="1"/>
  <c r="AH48" i="3" s="1"/>
  <c r="T48" i="3"/>
  <c r="U48" i="3" s="1"/>
  <c r="P48" i="3"/>
  <c r="Q48" i="3" s="1"/>
  <c r="R48" i="3" s="1"/>
  <c r="I48" i="3"/>
  <c r="J48" i="3" s="1"/>
  <c r="K48" i="3" s="1"/>
  <c r="B48" i="3"/>
  <c r="A48" i="3"/>
  <c r="AT47" i="3"/>
  <c r="AU47" i="3" s="1"/>
  <c r="AV47" i="3" s="1"/>
  <c r="AO47" i="3"/>
  <c r="AP47" i="3" s="1"/>
  <c r="AQ47" i="3" s="1"/>
  <c r="AF47" i="3"/>
  <c r="AG47" i="3" s="1"/>
  <c r="AH47" i="3" s="1"/>
  <c r="U47" i="3"/>
  <c r="T47" i="3"/>
  <c r="P47" i="3"/>
  <c r="Q47" i="3" s="1"/>
  <c r="R47" i="3" s="1"/>
  <c r="I47" i="3"/>
  <c r="J47" i="3" s="1"/>
  <c r="K47" i="3" s="1"/>
  <c r="B47" i="3"/>
  <c r="A47" i="3"/>
  <c r="AT46" i="3"/>
  <c r="AU46" i="3" s="1"/>
  <c r="AV46" i="3" s="1"/>
  <c r="AO46" i="3"/>
  <c r="AP46" i="3" s="1"/>
  <c r="AQ46" i="3" s="1"/>
  <c r="AF46" i="3"/>
  <c r="AG46" i="3" s="1"/>
  <c r="AH46" i="3" s="1"/>
  <c r="AW46" i="3" s="1"/>
  <c r="T46" i="3"/>
  <c r="U46" i="3" s="1"/>
  <c r="P46" i="3"/>
  <c r="Q46" i="3" s="1"/>
  <c r="R46" i="3" s="1"/>
  <c r="I46" i="3"/>
  <c r="J46" i="3" s="1"/>
  <c r="K46" i="3" s="1"/>
  <c r="B46" i="3"/>
  <c r="A46" i="3"/>
  <c r="AT45" i="3"/>
  <c r="AU45" i="3" s="1"/>
  <c r="AV45" i="3" s="1"/>
  <c r="AO45" i="3"/>
  <c r="AP45" i="3" s="1"/>
  <c r="AQ45" i="3" s="1"/>
  <c r="AF45" i="3"/>
  <c r="AG45" i="3" s="1"/>
  <c r="AH45" i="3" s="1"/>
  <c r="T45" i="3"/>
  <c r="U45" i="3" s="1"/>
  <c r="P45" i="3"/>
  <c r="Q45" i="3" s="1"/>
  <c r="R45" i="3" s="1"/>
  <c r="I45" i="3"/>
  <c r="J45" i="3" s="1"/>
  <c r="K45" i="3" s="1"/>
  <c r="B45" i="3"/>
  <c r="A45" i="3"/>
  <c r="AT44" i="3"/>
  <c r="AU44" i="3" s="1"/>
  <c r="AV44" i="3" s="1"/>
  <c r="AO44" i="3"/>
  <c r="AP44" i="3" s="1"/>
  <c r="AQ44" i="3" s="1"/>
  <c r="AF44" i="3"/>
  <c r="AG44" i="3" s="1"/>
  <c r="AH44" i="3" s="1"/>
  <c r="T44" i="3"/>
  <c r="U44" i="3" s="1"/>
  <c r="P44" i="3"/>
  <c r="Q44" i="3" s="1"/>
  <c r="R44" i="3" s="1"/>
  <c r="I44" i="3"/>
  <c r="J44" i="3" s="1"/>
  <c r="K44" i="3" s="1"/>
  <c r="B44" i="3"/>
  <c r="A44" i="3"/>
  <c r="AT43" i="3"/>
  <c r="AU43" i="3" s="1"/>
  <c r="AV43" i="3" s="1"/>
  <c r="AO43" i="3"/>
  <c r="AP43" i="3" s="1"/>
  <c r="AQ43" i="3" s="1"/>
  <c r="AF43" i="3"/>
  <c r="AG43" i="3" s="1"/>
  <c r="AH43" i="3" s="1"/>
  <c r="T43" i="3"/>
  <c r="U43" i="3" s="1"/>
  <c r="P43" i="3"/>
  <c r="Q43" i="3" s="1"/>
  <c r="R43" i="3" s="1"/>
  <c r="I43" i="3"/>
  <c r="J43" i="3" s="1"/>
  <c r="K43" i="3" s="1"/>
  <c r="B43" i="3"/>
  <c r="A43" i="3"/>
  <c r="AT42" i="3"/>
  <c r="AU42" i="3" s="1"/>
  <c r="AV42" i="3" s="1"/>
  <c r="AO42" i="3"/>
  <c r="AP42" i="3" s="1"/>
  <c r="AQ42" i="3" s="1"/>
  <c r="AF42" i="3"/>
  <c r="AG42" i="3" s="1"/>
  <c r="AH42" i="3" s="1"/>
  <c r="T42" i="3"/>
  <c r="U42" i="3" s="1"/>
  <c r="P42" i="3"/>
  <c r="Q42" i="3" s="1"/>
  <c r="R42" i="3" s="1"/>
  <c r="I42" i="3"/>
  <c r="J42" i="3" s="1"/>
  <c r="K42" i="3" s="1"/>
  <c r="B42" i="3"/>
  <c r="A42" i="3"/>
  <c r="AT41" i="3"/>
  <c r="AU41" i="3" s="1"/>
  <c r="AV41" i="3" s="1"/>
  <c r="AO41" i="3"/>
  <c r="AP41" i="3" s="1"/>
  <c r="AQ41" i="3" s="1"/>
  <c r="AF41" i="3"/>
  <c r="AG41" i="3" s="1"/>
  <c r="AH41" i="3" s="1"/>
  <c r="T41" i="3"/>
  <c r="U41" i="3" s="1"/>
  <c r="P41" i="3"/>
  <c r="Q41" i="3" s="1"/>
  <c r="R41" i="3" s="1"/>
  <c r="I41" i="3"/>
  <c r="J41" i="3" s="1"/>
  <c r="K41" i="3" s="1"/>
  <c r="B41" i="3"/>
  <c r="A41" i="3"/>
  <c r="AT40" i="3"/>
  <c r="AU40" i="3" s="1"/>
  <c r="AV40" i="3" s="1"/>
  <c r="AO40" i="3"/>
  <c r="AP40" i="3" s="1"/>
  <c r="AQ40" i="3" s="1"/>
  <c r="AF40" i="3"/>
  <c r="AG40" i="3" s="1"/>
  <c r="AH40" i="3" s="1"/>
  <c r="T40" i="3"/>
  <c r="U40" i="3" s="1"/>
  <c r="P40" i="3"/>
  <c r="Q40" i="3" s="1"/>
  <c r="R40" i="3" s="1"/>
  <c r="I40" i="3"/>
  <c r="J40" i="3" s="1"/>
  <c r="K40" i="3" s="1"/>
  <c r="B40" i="3"/>
  <c r="A40" i="3"/>
  <c r="AT39" i="3"/>
  <c r="AU39" i="3" s="1"/>
  <c r="AV39" i="3" s="1"/>
  <c r="AO39" i="3"/>
  <c r="AP39" i="3" s="1"/>
  <c r="AQ39" i="3" s="1"/>
  <c r="AF39" i="3"/>
  <c r="AG39" i="3" s="1"/>
  <c r="AH39" i="3" s="1"/>
  <c r="T39" i="3"/>
  <c r="U39" i="3" s="1"/>
  <c r="P39" i="3"/>
  <c r="Q39" i="3" s="1"/>
  <c r="R39" i="3" s="1"/>
  <c r="I39" i="3"/>
  <c r="J39" i="3" s="1"/>
  <c r="K39" i="3" s="1"/>
  <c r="B39" i="3"/>
  <c r="A39" i="3"/>
  <c r="AT38" i="3"/>
  <c r="AU38" i="3" s="1"/>
  <c r="AV38" i="3" s="1"/>
  <c r="AO38" i="3"/>
  <c r="AP38" i="3" s="1"/>
  <c r="AQ38" i="3" s="1"/>
  <c r="AF38" i="3"/>
  <c r="AG38" i="3" s="1"/>
  <c r="AH38" i="3" s="1"/>
  <c r="T38" i="3"/>
  <c r="U38" i="3" s="1"/>
  <c r="P38" i="3"/>
  <c r="Q38" i="3" s="1"/>
  <c r="R38" i="3" s="1"/>
  <c r="I38" i="3"/>
  <c r="J38" i="3" s="1"/>
  <c r="K38" i="3" s="1"/>
  <c r="B38" i="3"/>
  <c r="A38" i="3"/>
  <c r="AT37" i="3"/>
  <c r="AU37" i="3" s="1"/>
  <c r="AV37" i="3" s="1"/>
  <c r="AO37" i="3"/>
  <c r="AP37" i="3" s="1"/>
  <c r="AQ37" i="3" s="1"/>
  <c r="AF37" i="3"/>
  <c r="AG37" i="3" s="1"/>
  <c r="AH37" i="3" s="1"/>
  <c r="T37" i="3"/>
  <c r="U37" i="3" s="1"/>
  <c r="P37" i="3"/>
  <c r="Q37" i="3" s="1"/>
  <c r="R37" i="3" s="1"/>
  <c r="I37" i="3"/>
  <c r="J37" i="3" s="1"/>
  <c r="K37" i="3" s="1"/>
  <c r="B37" i="3"/>
  <c r="A37" i="3"/>
  <c r="AT36" i="3"/>
  <c r="AU36" i="3" s="1"/>
  <c r="AV36" i="3" s="1"/>
  <c r="AO36" i="3"/>
  <c r="AP36" i="3" s="1"/>
  <c r="AQ36" i="3" s="1"/>
  <c r="AF36" i="3"/>
  <c r="AG36" i="3" s="1"/>
  <c r="AH36" i="3" s="1"/>
  <c r="T36" i="3"/>
  <c r="U36" i="3" s="1"/>
  <c r="P36" i="3"/>
  <c r="Q36" i="3" s="1"/>
  <c r="R36" i="3" s="1"/>
  <c r="I36" i="3"/>
  <c r="J36" i="3" s="1"/>
  <c r="K36" i="3" s="1"/>
  <c r="B36" i="3"/>
  <c r="A36" i="3"/>
  <c r="AT35" i="3"/>
  <c r="AU35" i="3" s="1"/>
  <c r="AV35" i="3" s="1"/>
  <c r="AO35" i="3"/>
  <c r="AP35" i="3" s="1"/>
  <c r="AQ35" i="3" s="1"/>
  <c r="AF35" i="3"/>
  <c r="AG35" i="3" s="1"/>
  <c r="AH35" i="3" s="1"/>
  <c r="AW35" i="3" s="1"/>
  <c r="T35" i="3"/>
  <c r="U35" i="3" s="1"/>
  <c r="P35" i="3"/>
  <c r="Q35" i="3" s="1"/>
  <c r="R35" i="3" s="1"/>
  <c r="I35" i="3"/>
  <c r="J35" i="3" s="1"/>
  <c r="K35" i="3" s="1"/>
  <c r="B35" i="3"/>
  <c r="A35" i="3"/>
  <c r="AT34" i="3"/>
  <c r="AU34" i="3" s="1"/>
  <c r="AV34" i="3" s="1"/>
  <c r="AO34" i="3"/>
  <c r="AP34" i="3" s="1"/>
  <c r="AQ34" i="3" s="1"/>
  <c r="AF34" i="3"/>
  <c r="AG34" i="3" s="1"/>
  <c r="AH34" i="3" s="1"/>
  <c r="AW34" i="3" s="1"/>
  <c r="T34" i="3"/>
  <c r="U34" i="3" s="1"/>
  <c r="P34" i="3"/>
  <c r="Q34" i="3" s="1"/>
  <c r="R34" i="3" s="1"/>
  <c r="I34" i="3"/>
  <c r="J34" i="3" s="1"/>
  <c r="K34" i="3" s="1"/>
  <c r="B34" i="3"/>
  <c r="A34" i="3"/>
  <c r="AT33" i="3"/>
  <c r="AU33" i="3" s="1"/>
  <c r="AV33" i="3" s="1"/>
  <c r="AO33" i="3"/>
  <c r="AP33" i="3" s="1"/>
  <c r="AQ33" i="3" s="1"/>
  <c r="AF33" i="3"/>
  <c r="AG33" i="3" s="1"/>
  <c r="AH33" i="3" s="1"/>
  <c r="T33" i="3"/>
  <c r="U33" i="3" s="1"/>
  <c r="P33" i="3"/>
  <c r="Q33" i="3" s="1"/>
  <c r="R33" i="3" s="1"/>
  <c r="I33" i="3"/>
  <c r="J33" i="3" s="1"/>
  <c r="K33" i="3" s="1"/>
  <c r="B33" i="3"/>
  <c r="A33" i="3"/>
  <c r="AT32" i="3"/>
  <c r="AU32" i="3" s="1"/>
  <c r="AV32" i="3" s="1"/>
  <c r="AO32" i="3"/>
  <c r="AP32" i="3" s="1"/>
  <c r="AQ32" i="3" s="1"/>
  <c r="AF32" i="3"/>
  <c r="AG32" i="3" s="1"/>
  <c r="AH32" i="3" s="1"/>
  <c r="AW32" i="3" s="1"/>
  <c r="T32" i="3"/>
  <c r="U32" i="3" s="1"/>
  <c r="P32" i="3"/>
  <c r="Q32" i="3" s="1"/>
  <c r="R32" i="3" s="1"/>
  <c r="J32" i="3"/>
  <c r="K32" i="3" s="1"/>
  <c r="I32" i="3"/>
  <c r="B32" i="3"/>
  <c r="A32" i="3"/>
  <c r="AU31" i="3"/>
  <c r="AV31" i="3" s="1"/>
  <c r="AT31" i="3"/>
  <c r="AO31" i="3"/>
  <c r="AP31" i="3" s="1"/>
  <c r="AQ31" i="3" s="1"/>
  <c r="AF31" i="3"/>
  <c r="AG31" i="3" s="1"/>
  <c r="AH31" i="3" s="1"/>
  <c r="T31" i="3"/>
  <c r="U31" i="3" s="1"/>
  <c r="P31" i="3"/>
  <c r="Q31" i="3" s="1"/>
  <c r="R31" i="3" s="1"/>
  <c r="J31" i="3"/>
  <c r="K31" i="3" s="1"/>
  <c r="I31" i="3"/>
  <c r="B31" i="3"/>
  <c r="A31" i="3"/>
  <c r="AT30" i="3"/>
  <c r="AU30" i="3" s="1"/>
  <c r="AV30" i="3" s="1"/>
  <c r="AO30" i="3"/>
  <c r="AP30" i="3" s="1"/>
  <c r="AQ30" i="3" s="1"/>
  <c r="AF30" i="3"/>
  <c r="AG30" i="3" s="1"/>
  <c r="AH30" i="3" s="1"/>
  <c r="T30" i="3"/>
  <c r="U30" i="3" s="1"/>
  <c r="P30" i="3"/>
  <c r="Q30" i="3" s="1"/>
  <c r="R30" i="3" s="1"/>
  <c r="I30" i="3"/>
  <c r="J30" i="3" s="1"/>
  <c r="K30" i="3" s="1"/>
  <c r="B30" i="3"/>
  <c r="A30" i="3"/>
  <c r="AT29" i="3"/>
  <c r="AU29" i="3" s="1"/>
  <c r="AV29" i="3" s="1"/>
  <c r="AO29" i="3"/>
  <c r="AP29" i="3" s="1"/>
  <c r="AQ29" i="3" s="1"/>
  <c r="AF29" i="3"/>
  <c r="AG29" i="3" s="1"/>
  <c r="AH29" i="3" s="1"/>
  <c r="T29" i="3"/>
  <c r="U29" i="3" s="1"/>
  <c r="P29" i="3"/>
  <c r="Q29" i="3" s="1"/>
  <c r="R29" i="3" s="1"/>
  <c r="I29" i="3"/>
  <c r="J29" i="3" s="1"/>
  <c r="K29" i="3" s="1"/>
  <c r="B29" i="3"/>
  <c r="A29" i="3"/>
  <c r="AT28" i="3"/>
  <c r="AU28" i="3" s="1"/>
  <c r="AV28" i="3" s="1"/>
  <c r="AO28" i="3"/>
  <c r="AP28" i="3" s="1"/>
  <c r="AQ28" i="3" s="1"/>
  <c r="AF28" i="3"/>
  <c r="AG28" i="3" s="1"/>
  <c r="AH28" i="3" s="1"/>
  <c r="T28" i="3"/>
  <c r="U28" i="3" s="1"/>
  <c r="P28" i="3"/>
  <c r="Q28" i="3" s="1"/>
  <c r="R28" i="3" s="1"/>
  <c r="I28" i="3"/>
  <c r="J28" i="3" s="1"/>
  <c r="K28" i="3" s="1"/>
  <c r="B28" i="3"/>
  <c r="A28" i="3"/>
  <c r="AT27" i="3"/>
  <c r="AU27" i="3" s="1"/>
  <c r="AV27" i="3" s="1"/>
  <c r="AO27" i="3"/>
  <c r="AP27" i="3" s="1"/>
  <c r="AQ27" i="3" s="1"/>
  <c r="AF27" i="3"/>
  <c r="AG27" i="3" s="1"/>
  <c r="AH27" i="3" s="1"/>
  <c r="T27" i="3"/>
  <c r="U27" i="3" s="1"/>
  <c r="P27" i="3"/>
  <c r="Q27" i="3" s="1"/>
  <c r="R27" i="3" s="1"/>
  <c r="J27" i="3"/>
  <c r="K27" i="3" s="1"/>
  <c r="I27" i="3"/>
  <c r="B27" i="3"/>
  <c r="A27" i="3"/>
  <c r="AT26" i="3"/>
  <c r="AU26" i="3" s="1"/>
  <c r="AV26" i="3" s="1"/>
  <c r="AO26" i="3"/>
  <c r="AP26" i="3" s="1"/>
  <c r="AQ26" i="3" s="1"/>
  <c r="AF26" i="3"/>
  <c r="AG26" i="3" s="1"/>
  <c r="AH26" i="3" s="1"/>
  <c r="T26" i="3"/>
  <c r="U26" i="3" s="1"/>
  <c r="P26" i="3"/>
  <c r="Q26" i="3" s="1"/>
  <c r="R26" i="3" s="1"/>
  <c r="I26" i="3"/>
  <c r="J26" i="3" s="1"/>
  <c r="K26" i="3" s="1"/>
  <c r="B26" i="3"/>
  <c r="A26" i="3"/>
  <c r="AT25" i="3"/>
  <c r="AU25" i="3" s="1"/>
  <c r="AV25" i="3" s="1"/>
  <c r="AO25" i="3"/>
  <c r="AP25" i="3" s="1"/>
  <c r="AQ25" i="3" s="1"/>
  <c r="AF25" i="3"/>
  <c r="AG25" i="3" s="1"/>
  <c r="AH25" i="3" s="1"/>
  <c r="T25" i="3"/>
  <c r="U25" i="3" s="1"/>
  <c r="P25" i="3"/>
  <c r="Q25" i="3" s="1"/>
  <c r="R25" i="3" s="1"/>
  <c r="I25" i="3"/>
  <c r="J25" i="3" s="1"/>
  <c r="K25" i="3" s="1"/>
  <c r="B25" i="3"/>
  <c r="A25" i="3"/>
  <c r="AT24" i="3"/>
  <c r="AU24" i="3" s="1"/>
  <c r="AV24" i="3" s="1"/>
  <c r="AO24" i="3"/>
  <c r="AP24" i="3" s="1"/>
  <c r="AQ24" i="3" s="1"/>
  <c r="AF24" i="3"/>
  <c r="AG24" i="3" s="1"/>
  <c r="AH24" i="3" s="1"/>
  <c r="T24" i="3"/>
  <c r="U24" i="3" s="1"/>
  <c r="P24" i="3"/>
  <c r="Q24" i="3" s="1"/>
  <c r="R24" i="3" s="1"/>
  <c r="I24" i="3"/>
  <c r="J24" i="3" s="1"/>
  <c r="K24" i="3" s="1"/>
  <c r="B24" i="3"/>
  <c r="A24" i="3"/>
  <c r="AT23" i="3"/>
  <c r="AU23" i="3" s="1"/>
  <c r="AV23" i="3" s="1"/>
  <c r="AO23" i="3"/>
  <c r="AP23" i="3" s="1"/>
  <c r="AQ23" i="3" s="1"/>
  <c r="AF23" i="3"/>
  <c r="AG23" i="3" s="1"/>
  <c r="AH23" i="3" s="1"/>
  <c r="T23" i="3"/>
  <c r="U23" i="3" s="1"/>
  <c r="P23" i="3"/>
  <c r="Q23" i="3" s="1"/>
  <c r="R23" i="3" s="1"/>
  <c r="I23" i="3"/>
  <c r="J23" i="3" s="1"/>
  <c r="K23" i="3" s="1"/>
  <c r="B23" i="3"/>
  <c r="A23" i="3"/>
  <c r="AT22" i="3"/>
  <c r="AU22" i="3" s="1"/>
  <c r="AV22" i="3" s="1"/>
  <c r="AO22" i="3"/>
  <c r="AP22" i="3" s="1"/>
  <c r="AQ22" i="3" s="1"/>
  <c r="AF22" i="3"/>
  <c r="AG22" i="3" s="1"/>
  <c r="AH22" i="3" s="1"/>
  <c r="T22" i="3"/>
  <c r="U22" i="3" s="1"/>
  <c r="P22" i="3"/>
  <c r="Q22" i="3" s="1"/>
  <c r="R22" i="3" s="1"/>
  <c r="I22" i="3"/>
  <c r="J22" i="3" s="1"/>
  <c r="K22" i="3" s="1"/>
  <c r="B22" i="3"/>
  <c r="A22" i="3"/>
  <c r="AT21" i="3"/>
  <c r="AU21" i="3" s="1"/>
  <c r="AV21" i="3" s="1"/>
  <c r="AO21" i="3"/>
  <c r="AP21" i="3" s="1"/>
  <c r="AQ21" i="3" s="1"/>
  <c r="AF21" i="3"/>
  <c r="AG21" i="3" s="1"/>
  <c r="AH21" i="3" s="1"/>
  <c r="T21" i="3"/>
  <c r="U21" i="3" s="1"/>
  <c r="P21" i="3"/>
  <c r="Q21" i="3" s="1"/>
  <c r="R21" i="3" s="1"/>
  <c r="I21" i="3"/>
  <c r="J21" i="3" s="1"/>
  <c r="K21" i="3" s="1"/>
  <c r="B21" i="3"/>
  <c r="A21" i="3"/>
  <c r="AT20" i="3"/>
  <c r="AU20" i="3" s="1"/>
  <c r="AV20" i="3" s="1"/>
  <c r="AO20" i="3"/>
  <c r="AP20" i="3" s="1"/>
  <c r="AQ20" i="3" s="1"/>
  <c r="AF20" i="3"/>
  <c r="AG20" i="3" s="1"/>
  <c r="AH20" i="3" s="1"/>
  <c r="AW20" i="3" s="1"/>
  <c r="T20" i="3"/>
  <c r="U20" i="3" s="1"/>
  <c r="P20" i="3"/>
  <c r="Q20" i="3" s="1"/>
  <c r="R20" i="3" s="1"/>
  <c r="I20" i="3"/>
  <c r="J20" i="3" s="1"/>
  <c r="K20" i="3" s="1"/>
  <c r="B20" i="3"/>
  <c r="A20" i="3"/>
  <c r="AT19" i="3"/>
  <c r="AU19" i="3" s="1"/>
  <c r="AV19" i="3" s="1"/>
  <c r="AO19" i="3"/>
  <c r="AP19" i="3" s="1"/>
  <c r="AQ19" i="3" s="1"/>
  <c r="AF19" i="3"/>
  <c r="AG19" i="3" s="1"/>
  <c r="AH19" i="3" s="1"/>
  <c r="T19" i="3"/>
  <c r="U19" i="3" s="1"/>
  <c r="P19" i="3"/>
  <c r="Q19" i="3" s="1"/>
  <c r="R19" i="3" s="1"/>
  <c r="I19" i="3"/>
  <c r="J19" i="3" s="1"/>
  <c r="K19" i="3" s="1"/>
  <c r="B19" i="3"/>
  <c r="A19" i="3"/>
  <c r="AT18" i="3"/>
  <c r="AU18" i="3" s="1"/>
  <c r="AV18" i="3" s="1"/>
  <c r="AO18" i="3"/>
  <c r="AP18" i="3" s="1"/>
  <c r="AQ18" i="3" s="1"/>
  <c r="AF18" i="3"/>
  <c r="AG18" i="3" s="1"/>
  <c r="AH18" i="3" s="1"/>
  <c r="U18" i="3"/>
  <c r="T18" i="3"/>
  <c r="P18" i="3"/>
  <c r="Q18" i="3" s="1"/>
  <c r="R18" i="3" s="1"/>
  <c r="I18" i="3"/>
  <c r="J18" i="3" s="1"/>
  <c r="K18" i="3" s="1"/>
  <c r="B18" i="3"/>
  <c r="A18" i="3"/>
  <c r="AT17" i="3"/>
  <c r="AU17" i="3" s="1"/>
  <c r="AV17" i="3" s="1"/>
  <c r="AO17" i="3"/>
  <c r="AP17" i="3" s="1"/>
  <c r="AQ17" i="3" s="1"/>
  <c r="AF17" i="3"/>
  <c r="AG17" i="3" s="1"/>
  <c r="AH17" i="3" s="1"/>
  <c r="T17" i="3"/>
  <c r="U17" i="3" s="1"/>
  <c r="P17" i="3"/>
  <c r="Q17" i="3" s="1"/>
  <c r="R17" i="3" s="1"/>
  <c r="I17" i="3"/>
  <c r="J17" i="3" s="1"/>
  <c r="K17" i="3" s="1"/>
  <c r="B17" i="3"/>
  <c r="A17" i="3"/>
  <c r="AT16" i="3"/>
  <c r="AU16" i="3" s="1"/>
  <c r="AV16" i="3" s="1"/>
  <c r="AO16" i="3"/>
  <c r="AP16" i="3" s="1"/>
  <c r="AQ16" i="3" s="1"/>
  <c r="AF16" i="3"/>
  <c r="AG16" i="3" s="1"/>
  <c r="AH16" i="3" s="1"/>
  <c r="T16" i="3"/>
  <c r="U16" i="3" s="1"/>
  <c r="P16" i="3"/>
  <c r="Q16" i="3" s="1"/>
  <c r="R16" i="3" s="1"/>
  <c r="I16" i="3"/>
  <c r="J16" i="3" s="1"/>
  <c r="K16" i="3" s="1"/>
  <c r="B16" i="3"/>
  <c r="A16" i="3"/>
  <c r="AT15" i="3"/>
  <c r="AU15" i="3" s="1"/>
  <c r="AV15" i="3" s="1"/>
  <c r="AO15" i="3"/>
  <c r="AP15" i="3" s="1"/>
  <c r="AQ15" i="3" s="1"/>
  <c r="AF15" i="3"/>
  <c r="AG15" i="3" s="1"/>
  <c r="AH15" i="3" s="1"/>
  <c r="T15" i="3"/>
  <c r="U15" i="3" s="1"/>
  <c r="P15" i="3"/>
  <c r="Q15" i="3" s="1"/>
  <c r="R15" i="3" s="1"/>
  <c r="I15" i="3"/>
  <c r="J15" i="3" s="1"/>
  <c r="K15" i="3" s="1"/>
  <c r="B15" i="3"/>
  <c r="A15" i="3"/>
  <c r="AT14" i="3"/>
  <c r="AU14" i="3" s="1"/>
  <c r="AV14" i="3" s="1"/>
  <c r="AO14" i="3"/>
  <c r="AP14" i="3" s="1"/>
  <c r="AQ14" i="3" s="1"/>
  <c r="AF14" i="3"/>
  <c r="AG14" i="3" s="1"/>
  <c r="AH14" i="3" s="1"/>
  <c r="AW14" i="3" s="1"/>
  <c r="U14" i="3"/>
  <c r="T14" i="3"/>
  <c r="P14" i="3"/>
  <c r="Q14" i="3" s="1"/>
  <c r="R14" i="3" s="1"/>
  <c r="I14" i="3"/>
  <c r="J14" i="3" s="1"/>
  <c r="K14" i="3" s="1"/>
  <c r="B14" i="3"/>
  <c r="A14" i="3"/>
  <c r="AT13" i="3"/>
  <c r="AU13" i="3" s="1"/>
  <c r="AV13" i="3" s="1"/>
  <c r="AO13" i="3"/>
  <c r="AP13" i="3" s="1"/>
  <c r="AQ13" i="3" s="1"/>
  <c r="AF13" i="3"/>
  <c r="AG13" i="3" s="1"/>
  <c r="AH13" i="3" s="1"/>
  <c r="T13" i="3"/>
  <c r="U13" i="3" s="1"/>
  <c r="P13" i="3"/>
  <c r="Q13" i="3" s="1"/>
  <c r="R13" i="3" s="1"/>
  <c r="I13" i="3"/>
  <c r="J13" i="3" s="1"/>
  <c r="K13" i="3" s="1"/>
  <c r="B13" i="3"/>
  <c r="A13" i="3"/>
  <c r="AT12" i="3"/>
  <c r="AU12" i="3" s="1"/>
  <c r="AV12" i="3" s="1"/>
  <c r="AO12" i="3"/>
  <c r="AP12" i="3" s="1"/>
  <c r="AQ12" i="3" s="1"/>
  <c r="AF12" i="3"/>
  <c r="AG12" i="3" s="1"/>
  <c r="AH12" i="3" s="1"/>
  <c r="T12" i="3"/>
  <c r="U12" i="3" s="1"/>
  <c r="P12" i="3"/>
  <c r="Q12" i="3" s="1"/>
  <c r="R12" i="3" s="1"/>
  <c r="I12" i="3"/>
  <c r="J12" i="3" s="1"/>
  <c r="K12" i="3" s="1"/>
  <c r="B12" i="3"/>
  <c r="A12" i="3"/>
  <c r="AT11" i="3"/>
  <c r="AU11" i="3" s="1"/>
  <c r="AV11" i="3" s="1"/>
  <c r="AO11" i="3"/>
  <c r="AP11" i="3" s="1"/>
  <c r="AQ11" i="3" s="1"/>
  <c r="AF11" i="3"/>
  <c r="AG11" i="3" s="1"/>
  <c r="AH11" i="3" s="1"/>
  <c r="T11" i="3"/>
  <c r="U11" i="3" s="1"/>
  <c r="P11" i="3"/>
  <c r="Q11" i="3" s="1"/>
  <c r="R11" i="3" s="1"/>
  <c r="J11" i="3"/>
  <c r="K11" i="3" s="1"/>
  <c r="I11" i="3"/>
  <c r="B11" i="3"/>
  <c r="A11" i="3"/>
  <c r="AT10" i="3"/>
  <c r="AU10" i="3" s="1"/>
  <c r="AV10" i="3" s="1"/>
  <c r="AO10" i="3"/>
  <c r="AP10" i="3" s="1"/>
  <c r="AQ10" i="3" s="1"/>
  <c r="AF10" i="3"/>
  <c r="AG10" i="3" s="1"/>
  <c r="AH10" i="3" s="1"/>
  <c r="T10" i="3"/>
  <c r="U10" i="3" s="1"/>
  <c r="P10" i="3"/>
  <c r="Q10" i="3" s="1"/>
  <c r="R10" i="3" s="1"/>
  <c r="I10" i="3"/>
  <c r="J10" i="3" s="1"/>
  <c r="K10" i="3" s="1"/>
  <c r="B10" i="3"/>
  <c r="A10" i="3"/>
  <c r="AT9" i="3"/>
  <c r="AU9" i="3" s="1"/>
  <c r="AV9" i="3" s="1"/>
  <c r="AO9" i="3"/>
  <c r="AP9" i="3" s="1"/>
  <c r="AQ9" i="3" s="1"/>
  <c r="AF9" i="3"/>
  <c r="AG9" i="3" s="1"/>
  <c r="AH9" i="3" s="1"/>
  <c r="U9" i="3"/>
  <c r="T9" i="3"/>
  <c r="P9" i="3"/>
  <c r="Q9" i="3" s="1"/>
  <c r="R9" i="3" s="1"/>
  <c r="I9" i="3"/>
  <c r="J9" i="3" s="1"/>
  <c r="K9" i="3" s="1"/>
  <c r="E9" i="3"/>
  <c r="B5" i="3"/>
  <c r="B4" i="3"/>
  <c r="B3" i="3"/>
  <c r="B2" i="3"/>
  <c r="B1" i="3"/>
  <c r="AW24" i="6" l="1"/>
  <c r="AW47" i="6"/>
  <c r="AW39" i="6"/>
  <c r="AW43" i="6"/>
  <c r="AW25" i="6"/>
  <c r="AW30" i="6"/>
  <c r="AX30" i="6" s="1"/>
  <c r="AW13" i="6"/>
  <c r="AW19" i="6"/>
  <c r="AW12" i="6"/>
  <c r="AW37" i="6"/>
  <c r="AW53" i="6"/>
  <c r="AX53" i="6" s="1"/>
  <c r="AW36" i="6"/>
  <c r="AW49" i="6"/>
  <c r="AW18" i="6"/>
  <c r="AW50" i="6"/>
  <c r="AW54" i="6"/>
  <c r="BA54" i="6" s="1"/>
  <c r="AW48" i="6"/>
  <c r="AW28" i="3"/>
  <c r="AW23" i="3"/>
  <c r="AW26" i="3"/>
  <c r="AD52" i="1"/>
  <c r="E54" i="6" s="1"/>
  <c r="AW27" i="3"/>
  <c r="AW11" i="3"/>
  <c r="AW38" i="3"/>
  <c r="AW37" i="3"/>
  <c r="AW42" i="3"/>
  <c r="AW48" i="3"/>
  <c r="AW16" i="3"/>
  <c r="AX16" i="3" s="1"/>
  <c r="AW22" i="3"/>
  <c r="AW31" i="3"/>
  <c r="AW47" i="3"/>
  <c r="AW25" i="3"/>
  <c r="AW36" i="3"/>
  <c r="AW24" i="3"/>
  <c r="AW50" i="3"/>
  <c r="AW54" i="3"/>
  <c r="AW17" i="3"/>
  <c r="AW39" i="3"/>
  <c r="AW44" i="3"/>
  <c r="AW49" i="3"/>
  <c r="AW53" i="3"/>
  <c r="BA53" i="3" s="1"/>
  <c r="AW15" i="3"/>
  <c r="AW21" i="3"/>
  <c r="AW30" i="3"/>
  <c r="AW41" i="3"/>
  <c r="AW19" i="3"/>
  <c r="AW29" i="3"/>
  <c r="AW51" i="3"/>
  <c r="AW45" i="3"/>
  <c r="AW18" i="3"/>
  <c r="AW12" i="3"/>
  <c r="AW33" i="3"/>
  <c r="AW43" i="3"/>
  <c r="AW40" i="3"/>
  <c r="AW13" i="3"/>
  <c r="V9" i="3"/>
  <c r="AZ9" i="3" s="1"/>
  <c r="AD51" i="1"/>
  <c r="E53" i="6" s="1"/>
  <c r="V53" i="6" s="1"/>
  <c r="AW16" i="5"/>
  <c r="AX16" i="5" s="1"/>
  <c r="AW20" i="5"/>
  <c r="AX20" i="5" s="1"/>
  <c r="AW49" i="5"/>
  <c r="BA49" i="5" s="1"/>
  <c r="AW45" i="5"/>
  <c r="BA45" i="5" s="1"/>
  <c r="AW33" i="5"/>
  <c r="AX33" i="5" s="1"/>
  <c r="AW43" i="5"/>
  <c r="AX43" i="5" s="1"/>
  <c r="AW14" i="5"/>
  <c r="AX14" i="5" s="1"/>
  <c r="AW13" i="5"/>
  <c r="AX13" i="5" s="1"/>
  <c r="V9" i="5"/>
  <c r="AZ9" i="5" s="1"/>
  <c r="AW17" i="5"/>
  <c r="AW38" i="5"/>
  <c r="AW25" i="5"/>
  <c r="AW26" i="5"/>
  <c r="AW11" i="5"/>
  <c r="AW21" i="5"/>
  <c r="AW22" i="5"/>
  <c r="AW54" i="5"/>
  <c r="AX54" i="5" s="1"/>
  <c r="AW40" i="5"/>
  <c r="AW50" i="5"/>
  <c r="AW30" i="5"/>
  <c r="AW28" i="5"/>
  <c r="AW24" i="5"/>
  <c r="AW31" i="5"/>
  <c r="AW47" i="5"/>
  <c r="AW53" i="5"/>
  <c r="AX53" i="5" s="1"/>
  <c r="E53" i="3"/>
  <c r="E54" i="3"/>
  <c r="V54" i="3" s="1"/>
  <c r="C54" i="5"/>
  <c r="D54" i="5" s="1"/>
  <c r="E54" i="5" s="1"/>
  <c r="V54" i="5" s="1"/>
  <c r="W54" i="5" s="1"/>
  <c r="V54" i="6"/>
  <c r="AZ54" i="6" s="1"/>
  <c r="AW32" i="6"/>
  <c r="AW29" i="6"/>
  <c r="AW38" i="6"/>
  <c r="AW14" i="6"/>
  <c r="AW10" i="6"/>
  <c r="AW23" i="6"/>
  <c r="AW34" i="6"/>
  <c r="AW41" i="6"/>
  <c r="AW44" i="6"/>
  <c r="AW17" i="6"/>
  <c r="AW42" i="6"/>
  <c r="V9" i="6"/>
  <c r="AZ9" i="6" s="1"/>
  <c r="AW20" i="6"/>
  <c r="AW26" i="6"/>
  <c r="AW35" i="6"/>
  <c r="AW15" i="6"/>
  <c r="AW11" i="6"/>
  <c r="AW31" i="6"/>
  <c r="AW22" i="6"/>
  <c r="AW40" i="6"/>
  <c r="AW45" i="6"/>
  <c r="AW16" i="6"/>
  <c r="AW21" i="6"/>
  <c r="AW27" i="6"/>
  <c r="AW9" i="6"/>
  <c r="BA9" i="6" s="1"/>
  <c r="AW46" i="6"/>
  <c r="AW33" i="6"/>
  <c r="AW51" i="6"/>
  <c r="AW28" i="6"/>
  <c r="AW52" i="6"/>
  <c r="AW9" i="5"/>
  <c r="BA9" i="5" s="1"/>
  <c r="AW15" i="5"/>
  <c r="AW37" i="5"/>
  <c r="AW51" i="5"/>
  <c r="AW32" i="5"/>
  <c r="AW19" i="5"/>
  <c r="AW44" i="5"/>
  <c r="AW39" i="5"/>
  <c r="AW34" i="5"/>
  <c r="AW12" i="5"/>
  <c r="AW27" i="5"/>
  <c r="AW42" i="5"/>
  <c r="AW29" i="5"/>
  <c r="AW48" i="5"/>
  <c r="AW23" i="5"/>
  <c r="AW35" i="5"/>
  <c r="AW10" i="5"/>
  <c r="AW46" i="5"/>
  <c r="AW18" i="5"/>
  <c r="AW36" i="5"/>
  <c r="AW41" i="5"/>
  <c r="AW52" i="5"/>
  <c r="AW9" i="3"/>
  <c r="BA9" i="3" s="1"/>
  <c r="AW10" i="3"/>
  <c r="AX47" i="6" l="1"/>
  <c r="BA47" i="6"/>
  <c r="AX24" i="6"/>
  <c r="BA24" i="6"/>
  <c r="AX43" i="6"/>
  <c r="BA43" i="6"/>
  <c r="AX19" i="6"/>
  <c r="BA19" i="6"/>
  <c r="BA30" i="6"/>
  <c r="AX25" i="6"/>
  <c r="BA25" i="6"/>
  <c r="BA53" i="6"/>
  <c r="AX13" i="6"/>
  <c r="BA13" i="6"/>
  <c r="AX39" i="6"/>
  <c r="BA39" i="6"/>
  <c r="AX45" i="6"/>
  <c r="BA45" i="6"/>
  <c r="AX40" i="6"/>
  <c r="BA40" i="6"/>
  <c r="AX52" i="6"/>
  <c r="BA52" i="6"/>
  <c r="AX28" i="6"/>
  <c r="BA28" i="6"/>
  <c r="AX50" i="6"/>
  <c r="BA50" i="6"/>
  <c r="AX15" i="6"/>
  <c r="BA15" i="6"/>
  <c r="AX18" i="6"/>
  <c r="BA18" i="6"/>
  <c r="AX38" i="6"/>
  <c r="BA38" i="6"/>
  <c r="AX26" i="6"/>
  <c r="BA26" i="6"/>
  <c r="AX36" i="6"/>
  <c r="BA36" i="6"/>
  <c r="AX20" i="6"/>
  <c r="BA20" i="6"/>
  <c r="AX32" i="6"/>
  <c r="BA32" i="6"/>
  <c r="AX27" i="6"/>
  <c r="BA27" i="6"/>
  <c r="BB9" i="6"/>
  <c r="BC9" i="6" s="1"/>
  <c r="AX54" i="6"/>
  <c r="AX44" i="6"/>
  <c r="BA44" i="6"/>
  <c r="AX34" i="6"/>
  <c r="BA34" i="6"/>
  <c r="AX23" i="6"/>
  <c r="BA23" i="6"/>
  <c r="AX11" i="6"/>
  <c r="BA11" i="6"/>
  <c r="AX14" i="6"/>
  <c r="BA14" i="6"/>
  <c r="AX35" i="6"/>
  <c r="BA35" i="6"/>
  <c r="AX46" i="6"/>
  <c r="BA46" i="6"/>
  <c r="AX21" i="6"/>
  <c r="BA21" i="6"/>
  <c r="AX42" i="6"/>
  <c r="BA42" i="6"/>
  <c r="AX37" i="6"/>
  <c r="BA37" i="6"/>
  <c r="AX41" i="6"/>
  <c r="BA41" i="6"/>
  <c r="AX22" i="6"/>
  <c r="BA22" i="6"/>
  <c r="AX31" i="6"/>
  <c r="BA31" i="6"/>
  <c r="AX10" i="6"/>
  <c r="BA10" i="6"/>
  <c r="AX51" i="6"/>
  <c r="BA51" i="6"/>
  <c r="AX33" i="6"/>
  <c r="BA33" i="6"/>
  <c r="AX49" i="6"/>
  <c r="BA49" i="6"/>
  <c r="AX29" i="6"/>
  <c r="BA29" i="6"/>
  <c r="AX16" i="6"/>
  <c r="BA16" i="6"/>
  <c r="AX48" i="6"/>
  <c r="BA48" i="6"/>
  <c r="AX12" i="6"/>
  <c r="BA12" i="6"/>
  <c r="AX17" i="6"/>
  <c r="BA17" i="6"/>
  <c r="C53" i="5"/>
  <c r="D53" i="5" s="1"/>
  <c r="E53" i="5" s="1"/>
  <c r="V53" i="5" s="1"/>
  <c r="AZ53" i="5" s="1"/>
  <c r="V53" i="3"/>
  <c r="W53" i="3" s="1"/>
  <c r="AX49" i="5"/>
  <c r="BA33" i="5"/>
  <c r="BB9" i="3"/>
  <c r="BC9" i="3" s="1"/>
  <c r="AX53" i="3"/>
  <c r="BA16" i="3"/>
  <c r="AX24" i="3"/>
  <c r="BA24" i="3"/>
  <c r="AX39" i="3"/>
  <c r="BA39" i="3"/>
  <c r="AX43" i="3"/>
  <c r="BA43" i="3"/>
  <c r="AX36" i="3"/>
  <c r="BA36" i="3"/>
  <c r="AX40" i="3"/>
  <c r="BA40" i="3"/>
  <c r="AX27" i="3"/>
  <c r="BA27" i="3"/>
  <c r="AX35" i="3"/>
  <c r="BA35" i="3"/>
  <c r="AX15" i="3"/>
  <c r="BA15" i="3"/>
  <c r="AX22" i="3"/>
  <c r="BA22" i="3"/>
  <c r="AX46" i="3"/>
  <c r="BA46" i="3"/>
  <c r="AX45" i="3"/>
  <c r="BA45" i="3"/>
  <c r="AX12" i="3"/>
  <c r="BA12" i="3"/>
  <c r="AX20" i="3"/>
  <c r="BA20" i="3"/>
  <c r="AX23" i="3"/>
  <c r="BA23" i="3"/>
  <c r="AX29" i="3"/>
  <c r="BA29" i="3"/>
  <c r="AX10" i="3"/>
  <c r="BA10" i="3"/>
  <c r="AX49" i="3"/>
  <c r="BA49" i="3"/>
  <c r="AX42" i="3"/>
  <c r="BA42" i="3"/>
  <c r="AX47" i="3"/>
  <c r="BA47" i="3"/>
  <c r="AX31" i="3"/>
  <c r="BA31" i="3"/>
  <c r="AX21" i="3"/>
  <c r="BA21" i="3"/>
  <c r="AX26" i="3"/>
  <c r="BA26" i="3"/>
  <c r="AX13" i="3"/>
  <c r="BA13" i="3"/>
  <c r="AX37" i="3"/>
  <c r="BA37" i="3"/>
  <c r="AX41" i="3"/>
  <c r="BA41" i="3"/>
  <c r="AX28" i="3"/>
  <c r="BA28" i="3"/>
  <c r="AX32" i="3"/>
  <c r="BA32" i="3"/>
  <c r="AX48" i="3"/>
  <c r="BA48" i="3"/>
  <c r="AX30" i="3"/>
  <c r="BA30" i="3"/>
  <c r="AX52" i="3"/>
  <c r="BA52" i="3"/>
  <c r="AX51" i="3"/>
  <c r="BA51" i="3"/>
  <c r="AX11" i="3"/>
  <c r="BA11" i="3"/>
  <c r="AX19" i="3"/>
  <c r="BA19" i="3"/>
  <c r="AX34" i="3"/>
  <c r="BA34" i="3"/>
  <c r="AX25" i="3"/>
  <c r="BA25" i="3"/>
  <c r="AX14" i="3"/>
  <c r="BA14" i="3"/>
  <c r="AX17" i="3"/>
  <c r="BA17" i="3"/>
  <c r="AX44" i="3"/>
  <c r="BA44" i="3"/>
  <c r="AX50" i="3"/>
  <c r="BA50" i="3"/>
  <c r="AX18" i="3"/>
  <c r="BA18" i="3"/>
  <c r="AX33" i="3"/>
  <c r="BA33" i="3"/>
  <c r="AX38" i="3"/>
  <c r="BA38" i="3"/>
  <c r="BB9" i="5"/>
  <c r="BC9" i="5" s="1"/>
  <c r="BA16" i="5"/>
  <c r="BA13" i="5"/>
  <c r="BA14" i="5"/>
  <c r="BA20" i="5"/>
  <c r="AX45" i="5"/>
  <c r="BA43" i="5"/>
  <c r="BA53" i="5"/>
  <c r="BA54" i="5"/>
  <c r="AX26" i="5"/>
  <c r="BA26" i="5"/>
  <c r="AX25" i="5"/>
  <c r="BA25" i="5"/>
  <c r="AX34" i="5"/>
  <c r="BA34" i="5"/>
  <c r="AX38" i="5"/>
  <c r="BA38" i="5"/>
  <c r="AX17" i="5"/>
  <c r="BA17" i="5"/>
  <c r="AX44" i="5"/>
  <c r="BA44" i="5"/>
  <c r="AX19" i="5"/>
  <c r="BA19" i="5"/>
  <c r="AX50" i="5"/>
  <c r="BA50" i="5"/>
  <c r="AX40" i="5"/>
  <c r="BA40" i="5"/>
  <c r="AX35" i="5"/>
  <c r="BA35" i="5"/>
  <c r="AX22" i="5"/>
  <c r="BA22" i="5"/>
  <c r="AX15" i="5"/>
  <c r="BA15" i="5"/>
  <c r="AX21" i="5"/>
  <c r="BA21" i="5"/>
  <c r="AX47" i="5"/>
  <c r="BA47" i="5"/>
  <c r="AX52" i="5"/>
  <c r="BA52" i="5"/>
  <c r="AX31" i="5"/>
  <c r="BA31" i="5"/>
  <c r="AX41" i="5"/>
  <c r="BA41" i="5"/>
  <c r="AX24" i="5"/>
  <c r="BA24" i="5"/>
  <c r="AX36" i="5"/>
  <c r="BA36" i="5"/>
  <c r="AX28" i="5"/>
  <c r="BA28" i="5"/>
  <c r="AX18" i="5"/>
  <c r="BA18" i="5"/>
  <c r="AX51" i="5"/>
  <c r="BA51" i="5"/>
  <c r="AX37" i="5"/>
  <c r="BA37" i="5"/>
  <c r="AX48" i="5"/>
  <c r="BA48" i="5"/>
  <c r="AX29" i="5"/>
  <c r="BA29" i="5"/>
  <c r="AX11" i="5"/>
  <c r="BA11" i="5"/>
  <c r="AX27" i="5"/>
  <c r="BA27" i="5"/>
  <c r="AX12" i="5"/>
  <c r="BA12" i="5"/>
  <c r="AX39" i="5"/>
  <c r="BA39" i="5"/>
  <c r="AX30" i="5"/>
  <c r="BA30" i="5"/>
  <c r="AX46" i="5"/>
  <c r="BA46" i="5"/>
  <c r="AX32" i="5"/>
  <c r="BA32" i="5"/>
  <c r="AX23" i="5"/>
  <c r="BA23" i="5"/>
  <c r="AX42" i="5"/>
  <c r="BA42" i="5"/>
  <c r="AX10" i="5"/>
  <c r="BA10" i="5"/>
  <c r="AZ54" i="3"/>
  <c r="W54" i="3"/>
  <c r="AZ54" i="5"/>
  <c r="AX54" i="3"/>
  <c r="BA54" i="3"/>
  <c r="W54" i="6"/>
  <c r="BB54" i="6"/>
  <c r="W53" i="6"/>
  <c r="AZ53" i="6"/>
  <c r="BB53" i="6" l="1"/>
  <c r="BC54" i="6"/>
  <c r="E52" i="7"/>
  <c r="AZ53" i="3"/>
  <c r="BB53" i="3" s="1"/>
  <c r="BC53" i="3" s="1"/>
  <c r="W53" i="5"/>
  <c r="BB53" i="5"/>
  <c r="BB54" i="5"/>
  <c r="BB54" i="3"/>
  <c r="BC54" i="3" s="1"/>
  <c r="AB8" i="1"/>
  <c r="C10" i="6" s="1"/>
  <c r="AB50" i="1"/>
  <c r="C52" i="6" s="1"/>
  <c r="AB9" i="1"/>
  <c r="C11" i="6" s="1"/>
  <c r="AB10" i="1"/>
  <c r="C12" i="6" s="1"/>
  <c r="AB11" i="1"/>
  <c r="C13" i="6" s="1"/>
  <c r="AB12" i="1"/>
  <c r="C14" i="6" s="1"/>
  <c r="AB13" i="1"/>
  <c r="C15" i="6" s="1"/>
  <c r="AB14" i="1"/>
  <c r="C16" i="6" s="1"/>
  <c r="AB15" i="1"/>
  <c r="C17" i="6" s="1"/>
  <c r="AB16" i="1"/>
  <c r="C18" i="6" s="1"/>
  <c r="AB17" i="1"/>
  <c r="C19" i="6" s="1"/>
  <c r="AB18" i="1"/>
  <c r="C20" i="6" s="1"/>
  <c r="AB19" i="1"/>
  <c r="C21" i="6" s="1"/>
  <c r="AB20" i="1"/>
  <c r="C22" i="6" s="1"/>
  <c r="AB21" i="1"/>
  <c r="C23" i="6" s="1"/>
  <c r="AB22" i="1"/>
  <c r="C24" i="6" s="1"/>
  <c r="AB23" i="1"/>
  <c r="C25" i="6" s="1"/>
  <c r="AB24" i="1"/>
  <c r="C26" i="6" s="1"/>
  <c r="AB25" i="1"/>
  <c r="C27" i="6" s="1"/>
  <c r="AB26" i="1"/>
  <c r="C28" i="6" s="1"/>
  <c r="AB27" i="1"/>
  <c r="C29" i="6" s="1"/>
  <c r="AB28" i="1"/>
  <c r="C30" i="6" s="1"/>
  <c r="AB29" i="1"/>
  <c r="C31" i="6" s="1"/>
  <c r="AB30" i="1"/>
  <c r="C32" i="6" s="1"/>
  <c r="AB31" i="1"/>
  <c r="C33" i="6" s="1"/>
  <c r="AB32" i="1"/>
  <c r="C34" i="6" s="1"/>
  <c r="AB33" i="1"/>
  <c r="C35" i="6" s="1"/>
  <c r="AB34" i="1"/>
  <c r="C36" i="6" s="1"/>
  <c r="AB35" i="1"/>
  <c r="C37" i="6" s="1"/>
  <c r="AB36" i="1"/>
  <c r="C38" i="6" s="1"/>
  <c r="AB37" i="1"/>
  <c r="C39" i="6" s="1"/>
  <c r="AB38" i="1"/>
  <c r="C40" i="6" s="1"/>
  <c r="AB39" i="1"/>
  <c r="C41" i="6" s="1"/>
  <c r="AB40" i="1"/>
  <c r="C42" i="6" s="1"/>
  <c r="AB41" i="1"/>
  <c r="C43" i="6" s="1"/>
  <c r="AB42" i="1"/>
  <c r="C44" i="6" s="1"/>
  <c r="AB43" i="1"/>
  <c r="C45" i="6" s="1"/>
  <c r="AB44" i="1"/>
  <c r="C46" i="6" s="1"/>
  <c r="AB45" i="1"/>
  <c r="C47" i="6" s="1"/>
  <c r="AB46" i="1"/>
  <c r="C48" i="6" s="1"/>
  <c r="AB47" i="1"/>
  <c r="C49" i="6" s="1"/>
  <c r="AB48" i="1"/>
  <c r="C50" i="6" s="1"/>
  <c r="AB49" i="1"/>
  <c r="C51" i="6" s="1"/>
  <c r="S9" i="1"/>
  <c r="C11" i="3" s="1"/>
  <c r="S10" i="1"/>
  <c r="C12" i="3" s="1"/>
  <c r="S11" i="1"/>
  <c r="C13" i="3" s="1"/>
  <c r="S12" i="1"/>
  <c r="C14" i="3" s="1"/>
  <c r="S13" i="1"/>
  <c r="C15" i="3" s="1"/>
  <c r="S14" i="1"/>
  <c r="C16" i="3" s="1"/>
  <c r="S15" i="1"/>
  <c r="C17" i="3" s="1"/>
  <c r="S16" i="1"/>
  <c r="C18" i="3" s="1"/>
  <c r="S17" i="1"/>
  <c r="C19" i="3" s="1"/>
  <c r="S18" i="1"/>
  <c r="C20" i="3" s="1"/>
  <c r="S19" i="1"/>
  <c r="C21" i="3" s="1"/>
  <c r="S20" i="1"/>
  <c r="C22" i="3" s="1"/>
  <c r="S21" i="1"/>
  <c r="C23" i="3" s="1"/>
  <c r="S22" i="1"/>
  <c r="C24" i="3" s="1"/>
  <c r="S23" i="1"/>
  <c r="C25" i="3" s="1"/>
  <c r="S24" i="1"/>
  <c r="C26" i="3" s="1"/>
  <c r="S25" i="1"/>
  <c r="C27" i="3" s="1"/>
  <c r="S26" i="1"/>
  <c r="C28" i="3" s="1"/>
  <c r="S27" i="1"/>
  <c r="C29" i="3" s="1"/>
  <c r="S28" i="1"/>
  <c r="C30" i="3" s="1"/>
  <c r="S29" i="1"/>
  <c r="C31" i="3" s="1"/>
  <c r="S30" i="1"/>
  <c r="C32" i="3" s="1"/>
  <c r="S31" i="1"/>
  <c r="C33" i="3" s="1"/>
  <c r="S32" i="1"/>
  <c r="C34" i="3" s="1"/>
  <c r="S33" i="1"/>
  <c r="C35" i="3" s="1"/>
  <c r="S34" i="1"/>
  <c r="C36" i="3" s="1"/>
  <c r="S35" i="1"/>
  <c r="C37" i="3" s="1"/>
  <c r="S36" i="1"/>
  <c r="C38" i="3" s="1"/>
  <c r="S37" i="1"/>
  <c r="C39" i="3" s="1"/>
  <c r="S38" i="1"/>
  <c r="C40" i="3" s="1"/>
  <c r="S39" i="1"/>
  <c r="C41" i="3" s="1"/>
  <c r="S40" i="1"/>
  <c r="C42" i="3" s="1"/>
  <c r="S41" i="1"/>
  <c r="C43" i="3" s="1"/>
  <c r="S42" i="1"/>
  <c r="C44" i="3" s="1"/>
  <c r="S43" i="1"/>
  <c r="C45" i="3" s="1"/>
  <c r="S44" i="1"/>
  <c r="C46" i="3" s="1"/>
  <c r="S45" i="1"/>
  <c r="C47" i="3" s="1"/>
  <c r="S46" i="1"/>
  <c r="C48" i="3" s="1"/>
  <c r="S47" i="1"/>
  <c r="C49" i="3" s="1"/>
  <c r="S48" i="1"/>
  <c r="C50" i="3" s="1"/>
  <c r="S49" i="1"/>
  <c r="C51" i="3" s="1"/>
  <c r="S50" i="1"/>
  <c r="C52" i="3" s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S8" i="1"/>
  <c r="C10" i="3" s="1"/>
  <c r="J8" i="1"/>
  <c r="AD50" i="1" l="1"/>
  <c r="C52" i="5" s="1"/>
  <c r="D52" i="5" s="1"/>
  <c r="E52" i="5" s="1"/>
  <c r="V52" i="5" s="1"/>
  <c r="BC53" i="5"/>
  <c r="C51" i="7"/>
  <c r="BC54" i="5"/>
  <c r="C52" i="7"/>
  <c r="F52" i="7" s="1"/>
  <c r="G52" i="7" s="1"/>
  <c r="E51" i="7"/>
  <c r="F51" i="7" s="1"/>
  <c r="G51" i="7" s="1"/>
  <c r="BC53" i="6"/>
  <c r="AD38" i="1"/>
  <c r="C40" i="5" s="1"/>
  <c r="D40" i="5" s="1"/>
  <c r="E40" i="5" s="1"/>
  <c r="V40" i="5" s="1"/>
  <c r="AD49" i="1"/>
  <c r="AD48" i="1"/>
  <c r="C50" i="5" s="1"/>
  <c r="D50" i="5" s="1"/>
  <c r="E50" i="5" s="1"/>
  <c r="V50" i="5" s="1"/>
  <c r="AD37" i="1"/>
  <c r="C39" i="5" s="1"/>
  <c r="D39" i="5" s="1"/>
  <c r="E39" i="5" s="1"/>
  <c r="V39" i="5" s="1"/>
  <c r="AD47" i="1"/>
  <c r="C49" i="5" s="1"/>
  <c r="D49" i="5" s="1"/>
  <c r="E49" i="5" s="1"/>
  <c r="V49" i="5" s="1"/>
  <c r="AD16" i="1"/>
  <c r="C18" i="5" s="1"/>
  <c r="D18" i="5" s="1"/>
  <c r="E18" i="5" s="1"/>
  <c r="V18" i="5" s="1"/>
  <c r="AD13" i="1"/>
  <c r="E15" i="6" s="1"/>
  <c r="V15" i="6" s="1"/>
  <c r="AD46" i="1"/>
  <c r="C48" i="5" s="1"/>
  <c r="D48" i="5" s="1"/>
  <c r="E48" i="5" s="1"/>
  <c r="V48" i="5" s="1"/>
  <c r="AD41" i="1"/>
  <c r="E43" i="6" s="1"/>
  <c r="V43" i="6" s="1"/>
  <c r="AD31" i="1"/>
  <c r="E33" i="6" s="1"/>
  <c r="V33" i="6" s="1"/>
  <c r="AD27" i="1"/>
  <c r="C29" i="5" s="1"/>
  <c r="D29" i="5" s="1"/>
  <c r="E29" i="5" s="1"/>
  <c r="V29" i="5" s="1"/>
  <c r="AD26" i="1"/>
  <c r="E28" i="6" s="1"/>
  <c r="V28" i="6" s="1"/>
  <c r="AD25" i="1"/>
  <c r="C27" i="5" s="1"/>
  <c r="D27" i="5" s="1"/>
  <c r="E27" i="5" s="1"/>
  <c r="V27" i="5" s="1"/>
  <c r="AD14" i="1"/>
  <c r="E16" i="6" s="1"/>
  <c r="V16" i="6" s="1"/>
  <c r="AD12" i="1"/>
  <c r="AD11" i="1"/>
  <c r="C13" i="5" s="1"/>
  <c r="D13" i="5" s="1"/>
  <c r="E13" i="5" s="1"/>
  <c r="V13" i="5" s="1"/>
  <c r="AD45" i="1"/>
  <c r="E47" i="6" s="1"/>
  <c r="V47" i="6" s="1"/>
  <c r="AD44" i="1"/>
  <c r="E46" i="3" s="1"/>
  <c r="V46" i="3" s="1"/>
  <c r="AD43" i="1"/>
  <c r="E45" i="3" s="1"/>
  <c r="V45" i="3" s="1"/>
  <c r="AD42" i="1"/>
  <c r="E44" i="6" s="1"/>
  <c r="V44" i="6" s="1"/>
  <c r="AD40" i="1"/>
  <c r="C42" i="5" s="1"/>
  <c r="D42" i="5" s="1"/>
  <c r="E42" i="5" s="1"/>
  <c r="V42" i="5" s="1"/>
  <c r="AD39" i="1"/>
  <c r="E41" i="6" s="1"/>
  <c r="V41" i="6" s="1"/>
  <c r="AD36" i="1"/>
  <c r="C38" i="5" s="1"/>
  <c r="D38" i="5" s="1"/>
  <c r="E38" i="5" s="1"/>
  <c r="V38" i="5" s="1"/>
  <c r="AD35" i="1"/>
  <c r="E37" i="6" s="1"/>
  <c r="V37" i="6" s="1"/>
  <c r="AD34" i="1"/>
  <c r="E36" i="6" s="1"/>
  <c r="V36" i="6" s="1"/>
  <c r="AD33" i="1"/>
  <c r="E35" i="6" s="1"/>
  <c r="V35" i="6" s="1"/>
  <c r="AD32" i="1"/>
  <c r="C34" i="5" s="1"/>
  <c r="D34" i="5" s="1"/>
  <c r="E34" i="5" s="1"/>
  <c r="V34" i="5" s="1"/>
  <c r="AD30" i="1"/>
  <c r="E32" i="6" s="1"/>
  <c r="V32" i="6" s="1"/>
  <c r="AD29" i="1"/>
  <c r="E31" i="6" s="1"/>
  <c r="V31" i="6" s="1"/>
  <c r="AD28" i="1"/>
  <c r="C30" i="5" s="1"/>
  <c r="D30" i="5" s="1"/>
  <c r="E30" i="5" s="1"/>
  <c r="V30" i="5" s="1"/>
  <c r="AD24" i="1"/>
  <c r="E26" i="6" s="1"/>
  <c r="V26" i="6" s="1"/>
  <c r="AD23" i="1"/>
  <c r="C25" i="5" s="1"/>
  <c r="D25" i="5" s="1"/>
  <c r="E25" i="5" s="1"/>
  <c r="V25" i="5" s="1"/>
  <c r="AD22" i="1"/>
  <c r="C24" i="5" s="1"/>
  <c r="D24" i="5" s="1"/>
  <c r="E24" i="5" s="1"/>
  <c r="V24" i="5" s="1"/>
  <c r="AD21" i="1"/>
  <c r="C23" i="5" s="1"/>
  <c r="D23" i="5" s="1"/>
  <c r="E23" i="5" s="1"/>
  <c r="V23" i="5" s="1"/>
  <c r="AD20" i="1"/>
  <c r="C22" i="5" s="1"/>
  <c r="D22" i="5" s="1"/>
  <c r="E22" i="5" s="1"/>
  <c r="V22" i="5" s="1"/>
  <c r="AD19" i="1"/>
  <c r="E21" i="6" s="1"/>
  <c r="AD18" i="1"/>
  <c r="E20" i="6" s="1"/>
  <c r="V20" i="6" s="1"/>
  <c r="AD17" i="1"/>
  <c r="C19" i="5" s="1"/>
  <c r="D19" i="5" s="1"/>
  <c r="E19" i="5" s="1"/>
  <c r="V19" i="5" s="1"/>
  <c r="AD15" i="1"/>
  <c r="C17" i="5" s="1"/>
  <c r="D17" i="5" s="1"/>
  <c r="E17" i="5" s="1"/>
  <c r="V17" i="5" s="1"/>
  <c r="AD10" i="1"/>
  <c r="E12" i="6" s="1"/>
  <c r="V12" i="6" s="1"/>
  <c r="AD9" i="1"/>
  <c r="C11" i="5" s="1"/>
  <c r="D11" i="5" s="1"/>
  <c r="E11" i="5" s="1"/>
  <c r="V11" i="5" s="1"/>
  <c r="AD8" i="1"/>
  <c r="E10" i="6" s="1"/>
  <c r="V10" i="6" s="1"/>
  <c r="E52" i="3"/>
  <c r="V52" i="3" s="1"/>
  <c r="E52" i="6"/>
  <c r="V52" i="6" s="1"/>
  <c r="E51" i="3"/>
  <c r="V51" i="3" s="1"/>
  <c r="E49" i="3"/>
  <c r="V49" i="3" s="1"/>
  <c r="E44" i="3"/>
  <c r="V44" i="3" s="1"/>
  <c r="E43" i="3"/>
  <c r="V43" i="3" s="1"/>
  <c r="E41" i="3"/>
  <c r="V41" i="3" s="1"/>
  <c r="E40" i="3"/>
  <c r="V40" i="3" s="1"/>
  <c r="E40" i="6"/>
  <c r="V40" i="6" s="1"/>
  <c r="E39" i="6"/>
  <c r="V39" i="6" s="1"/>
  <c r="E39" i="3"/>
  <c r="V39" i="3" s="1"/>
  <c r="E50" i="6"/>
  <c r="V50" i="6" s="1"/>
  <c r="E50" i="3"/>
  <c r="V50" i="3" s="1"/>
  <c r="E48" i="3"/>
  <c r="V48" i="3" s="1"/>
  <c r="E47" i="3"/>
  <c r="V47" i="3" s="1"/>
  <c r="E36" i="3"/>
  <c r="V36" i="3" s="1"/>
  <c r="E17" i="3"/>
  <c r="V17" i="3" s="1"/>
  <c r="E33" i="3"/>
  <c r="V33" i="3" s="1"/>
  <c r="E20" i="3"/>
  <c r="V20" i="3" s="1"/>
  <c r="E19" i="3"/>
  <c r="V19" i="3" s="1"/>
  <c r="E30" i="3"/>
  <c r="V30" i="3" s="1"/>
  <c r="E29" i="3"/>
  <c r="V29" i="3" s="1"/>
  <c r="E28" i="3"/>
  <c r="V28" i="3" s="1"/>
  <c r="E27" i="3"/>
  <c r="V27" i="3" s="1"/>
  <c r="E35" i="3"/>
  <c r="V35" i="3" s="1"/>
  <c r="E23" i="3"/>
  <c r="V23" i="3" s="1"/>
  <c r="E32" i="3"/>
  <c r="V32" i="3" s="1"/>
  <c r="E31" i="3"/>
  <c r="V31" i="3" s="1"/>
  <c r="E18" i="3"/>
  <c r="V18" i="3" s="1"/>
  <c r="E16" i="3"/>
  <c r="V16" i="3" s="1"/>
  <c r="E15" i="3"/>
  <c r="V15" i="3" s="1"/>
  <c r="E14" i="3"/>
  <c r="V14" i="3" s="1"/>
  <c r="C14" i="5"/>
  <c r="D14" i="5" s="1"/>
  <c r="E14" i="5" s="1"/>
  <c r="V14" i="5" s="1"/>
  <c r="E14" i="6"/>
  <c r="V14" i="6" s="1"/>
  <c r="E24" i="3"/>
  <c r="V24" i="3" s="1"/>
  <c r="E34" i="3"/>
  <c r="V34" i="3" s="1"/>
  <c r="E13" i="3"/>
  <c r="V13" i="3" s="1"/>
  <c r="E11" i="3"/>
  <c r="V11" i="3" s="1"/>
  <c r="E51" i="6" l="1"/>
  <c r="V51" i="6" s="1"/>
  <c r="C51" i="5"/>
  <c r="D51" i="5" s="1"/>
  <c r="E51" i="5" s="1"/>
  <c r="V51" i="5" s="1"/>
  <c r="C15" i="5"/>
  <c r="D15" i="5" s="1"/>
  <c r="E15" i="5" s="1"/>
  <c r="V15" i="5" s="1"/>
  <c r="E17" i="6"/>
  <c r="V17" i="6" s="1"/>
  <c r="C31" i="5"/>
  <c r="D31" i="5" s="1"/>
  <c r="E31" i="5" s="1"/>
  <c r="V31" i="5" s="1"/>
  <c r="C32" i="5"/>
  <c r="D32" i="5" s="1"/>
  <c r="E32" i="5" s="1"/>
  <c r="V32" i="5" s="1"/>
  <c r="E45" i="6"/>
  <c r="V45" i="6" s="1"/>
  <c r="W45" i="6" s="1"/>
  <c r="E48" i="6"/>
  <c r="V48" i="6" s="1"/>
  <c r="W48" i="6" s="1"/>
  <c r="C41" i="5"/>
  <c r="D41" i="5" s="1"/>
  <c r="E41" i="5" s="1"/>
  <c r="V41" i="5" s="1"/>
  <c r="E18" i="6"/>
  <c r="V18" i="6" s="1"/>
  <c r="W18" i="6" s="1"/>
  <c r="C43" i="5"/>
  <c r="D43" i="5" s="1"/>
  <c r="E43" i="5" s="1"/>
  <c r="V43" i="5" s="1"/>
  <c r="W43" i="5" s="1"/>
  <c r="C44" i="5"/>
  <c r="D44" i="5" s="1"/>
  <c r="E44" i="5" s="1"/>
  <c r="V44" i="5" s="1"/>
  <c r="W44" i="5" s="1"/>
  <c r="E49" i="6"/>
  <c r="V49" i="6" s="1"/>
  <c r="AZ49" i="6" s="1"/>
  <c r="BB49" i="6" s="1"/>
  <c r="C33" i="5"/>
  <c r="D33" i="5" s="1"/>
  <c r="E33" i="5" s="1"/>
  <c r="V33" i="5" s="1"/>
  <c r="W33" i="5" s="1"/>
  <c r="C28" i="5"/>
  <c r="D28" i="5" s="1"/>
  <c r="E28" i="5" s="1"/>
  <c r="V28" i="5" s="1"/>
  <c r="W28" i="5" s="1"/>
  <c r="C36" i="5"/>
  <c r="D36" i="5" s="1"/>
  <c r="E36" i="5" s="1"/>
  <c r="V36" i="5" s="1"/>
  <c r="AZ36" i="5" s="1"/>
  <c r="BB36" i="5" s="1"/>
  <c r="E29" i="6"/>
  <c r="V29" i="6" s="1"/>
  <c r="W29" i="6" s="1"/>
  <c r="E11" i="6"/>
  <c r="V11" i="6" s="1"/>
  <c r="W11" i="6" s="1"/>
  <c r="C46" i="5"/>
  <c r="D46" i="5" s="1"/>
  <c r="E46" i="5" s="1"/>
  <c r="V46" i="5" s="1"/>
  <c r="W46" i="5" s="1"/>
  <c r="E13" i="6"/>
  <c r="V13" i="6" s="1"/>
  <c r="W13" i="6" s="1"/>
  <c r="C16" i="5"/>
  <c r="D16" i="5" s="1"/>
  <c r="E16" i="5" s="1"/>
  <c r="V16" i="5" s="1"/>
  <c r="W16" i="5" s="1"/>
  <c r="E34" i="6"/>
  <c r="V34" i="6" s="1"/>
  <c r="W34" i="6" s="1"/>
  <c r="C35" i="5"/>
  <c r="D35" i="5" s="1"/>
  <c r="E35" i="5" s="1"/>
  <c r="V35" i="5" s="1"/>
  <c r="W35" i="5" s="1"/>
  <c r="E30" i="6"/>
  <c r="V30" i="6" s="1"/>
  <c r="AZ30" i="6" s="1"/>
  <c r="BB30" i="6" s="1"/>
  <c r="E27" i="6"/>
  <c r="V27" i="6" s="1"/>
  <c r="AZ27" i="6" s="1"/>
  <c r="BB27" i="6" s="1"/>
  <c r="C47" i="5"/>
  <c r="D47" i="5" s="1"/>
  <c r="E47" i="5" s="1"/>
  <c r="V47" i="5" s="1"/>
  <c r="W47" i="5" s="1"/>
  <c r="C45" i="5"/>
  <c r="D45" i="5" s="1"/>
  <c r="E45" i="5" s="1"/>
  <c r="V45" i="5" s="1"/>
  <c r="AZ45" i="5" s="1"/>
  <c r="BB45" i="5" s="1"/>
  <c r="E42" i="6"/>
  <c r="V42" i="6" s="1"/>
  <c r="W42" i="6" s="1"/>
  <c r="E24" i="6"/>
  <c r="V24" i="6" s="1"/>
  <c r="AZ24" i="6" s="1"/>
  <c r="BB24" i="6" s="1"/>
  <c r="E23" i="6"/>
  <c r="V23" i="6" s="1"/>
  <c r="W23" i="6" s="1"/>
  <c r="C20" i="5"/>
  <c r="D20" i="5" s="1"/>
  <c r="E20" i="5" s="1"/>
  <c r="V20" i="5" s="1"/>
  <c r="AZ20" i="5" s="1"/>
  <c r="BB20" i="5" s="1"/>
  <c r="E19" i="6"/>
  <c r="V19" i="6" s="1"/>
  <c r="W19" i="6" s="1"/>
  <c r="E46" i="6"/>
  <c r="V46" i="6" s="1"/>
  <c r="W46" i="6" s="1"/>
  <c r="E42" i="3"/>
  <c r="V42" i="3" s="1"/>
  <c r="AZ42" i="3" s="1"/>
  <c r="BB42" i="3" s="1"/>
  <c r="BC42" i="3" s="1"/>
  <c r="E38" i="6"/>
  <c r="V38" i="6" s="1"/>
  <c r="AZ38" i="6" s="1"/>
  <c r="BB38" i="6" s="1"/>
  <c r="E38" i="3"/>
  <c r="E37" i="3"/>
  <c r="C37" i="5"/>
  <c r="D37" i="5" s="1"/>
  <c r="E37" i="5" s="1"/>
  <c r="V37" i="5" s="1"/>
  <c r="W37" i="5" s="1"/>
  <c r="E26" i="3"/>
  <c r="V26" i="3" s="1"/>
  <c r="AZ26" i="3" s="1"/>
  <c r="BB26" i="3" s="1"/>
  <c r="BC26" i="3" s="1"/>
  <c r="C26" i="5"/>
  <c r="D26" i="5" s="1"/>
  <c r="E26" i="5" s="1"/>
  <c r="V26" i="5" s="1"/>
  <c r="AZ26" i="5" s="1"/>
  <c r="BB26" i="5" s="1"/>
  <c r="E25" i="3"/>
  <c r="E25" i="6"/>
  <c r="V25" i="6" s="1"/>
  <c r="W25" i="6" s="1"/>
  <c r="E22" i="3"/>
  <c r="E22" i="6"/>
  <c r="V22" i="6" s="1"/>
  <c r="W22" i="6" s="1"/>
  <c r="E21" i="3"/>
  <c r="C21" i="5"/>
  <c r="D21" i="5" s="1"/>
  <c r="E21" i="5" s="1"/>
  <c r="V21" i="5" s="1"/>
  <c r="AZ21" i="5" s="1"/>
  <c r="BB21" i="5" s="1"/>
  <c r="E12" i="3"/>
  <c r="V12" i="3" s="1"/>
  <c r="W12" i="3" s="1"/>
  <c r="C12" i="5"/>
  <c r="D12" i="5" s="1"/>
  <c r="E12" i="5" s="1"/>
  <c r="V12" i="5" s="1"/>
  <c r="W12" i="5" s="1"/>
  <c r="E10" i="3"/>
  <c r="V10" i="3" s="1"/>
  <c r="W10" i="3" s="1"/>
  <c r="C10" i="5"/>
  <c r="D10" i="5" s="1"/>
  <c r="E10" i="5" s="1"/>
  <c r="V10" i="5" s="1"/>
  <c r="W38" i="5"/>
  <c r="AZ38" i="5"/>
  <c r="BB38" i="5" s="1"/>
  <c r="W50" i="3"/>
  <c r="AZ50" i="3"/>
  <c r="BB50" i="3" s="1"/>
  <c r="BC50" i="3" s="1"/>
  <c r="W50" i="5"/>
  <c r="AZ50" i="5"/>
  <c r="BB50" i="5" s="1"/>
  <c r="W50" i="6"/>
  <c r="AZ50" i="6"/>
  <c r="BB50" i="6" s="1"/>
  <c r="W39" i="3"/>
  <c r="AZ39" i="3"/>
  <c r="BB39" i="3" s="1"/>
  <c r="BC39" i="3" s="1"/>
  <c r="W39" i="6"/>
  <c r="AZ39" i="6"/>
  <c r="BB39" i="6" s="1"/>
  <c r="W40" i="5"/>
  <c r="AZ40" i="5"/>
  <c r="BB40" i="5" s="1"/>
  <c r="W41" i="3"/>
  <c r="AZ41" i="3"/>
  <c r="BB41" i="3" s="1"/>
  <c r="BC41" i="3" s="1"/>
  <c r="W51" i="3"/>
  <c r="AZ51" i="3"/>
  <c r="BB51" i="3" s="1"/>
  <c r="BC51" i="3" s="1"/>
  <c r="W52" i="6"/>
  <c r="AZ52" i="6"/>
  <c r="BB52" i="6" s="1"/>
  <c r="W52" i="3"/>
  <c r="AZ52" i="3"/>
  <c r="BB52" i="3" s="1"/>
  <c r="BC52" i="3" s="1"/>
  <c r="W39" i="5"/>
  <c r="AZ39" i="5"/>
  <c r="BB39" i="5" s="1"/>
  <c r="W44" i="6"/>
  <c r="AZ44" i="6"/>
  <c r="BB44" i="6" s="1"/>
  <c r="W48" i="3"/>
  <c r="AZ48" i="3"/>
  <c r="BB48" i="3" s="1"/>
  <c r="BC48" i="3" s="1"/>
  <c r="W40" i="6"/>
  <c r="AZ40" i="6"/>
  <c r="BB40" i="6" s="1"/>
  <c r="W49" i="5"/>
  <c r="AZ49" i="5"/>
  <c r="BB49" i="5" s="1"/>
  <c r="W45" i="3"/>
  <c r="AZ45" i="3"/>
  <c r="BB45" i="3" s="1"/>
  <c r="BC45" i="3" s="1"/>
  <c r="W51" i="6"/>
  <c r="AZ51" i="6"/>
  <c r="BB51" i="6" s="1"/>
  <c r="W41" i="6"/>
  <c r="AZ41" i="6"/>
  <c r="BB41" i="6" s="1"/>
  <c r="W43" i="3"/>
  <c r="AZ43" i="3"/>
  <c r="BB43" i="3" s="1"/>
  <c r="BC43" i="3" s="1"/>
  <c r="W46" i="3"/>
  <c r="AZ46" i="3"/>
  <c r="BB46" i="3" s="1"/>
  <c r="BC46" i="3" s="1"/>
  <c r="W43" i="6"/>
  <c r="AZ43" i="6"/>
  <c r="BB43" i="6" s="1"/>
  <c r="W52" i="5"/>
  <c r="AZ52" i="5"/>
  <c r="BB52" i="5" s="1"/>
  <c r="W47" i="6"/>
  <c r="AZ47" i="6"/>
  <c r="BB47" i="6" s="1"/>
  <c r="W44" i="3"/>
  <c r="AZ44" i="3"/>
  <c r="BB44" i="3" s="1"/>
  <c r="BC44" i="3" s="1"/>
  <c r="W47" i="3"/>
  <c r="AZ47" i="3"/>
  <c r="BB47" i="3" s="1"/>
  <c r="BC47" i="3" s="1"/>
  <c r="W42" i="5"/>
  <c r="AZ42" i="5"/>
  <c r="BB42" i="5" s="1"/>
  <c r="W48" i="5"/>
  <c r="AZ48" i="5"/>
  <c r="BB48" i="5" s="1"/>
  <c r="W40" i="3"/>
  <c r="AZ40" i="3"/>
  <c r="BB40" i="3" s="1"/>
  <c r="BC40" i="3" s="1"/>
  <c r="W49" i="3"/>
  <c r="AZ49" i="3"/>
  <c r="BB49" i="3" s="1"/>
  <c r="BC49" i="3" s="1"/>
  <c r="W36" i="3"/>
  <c r="AZ36" i="3"/>
  <c r="BB36" i="3" s="1"/>
  <c r="BC36" i="3" s="1"/>
  <c r="W37" i="6"/>
  <c r="AZ37" i="6"/>
  <c r="BB37" i="6" s="1"/>
  <c r="W36" i="6"/>
  <c r="AZ36" i="6"/>
  <c r="BB36" i="6" s="1"/>
  <c r="W18" i="5"/>
  <c r="AZ18" i="5"/>
  <c r="BB18" i="5" s="1"/>
  <c r="W18" i="3"/>
  <c r="AZ18" i="3"/>
  <c r="BB18" i="3" s="1"/>
  <c r="BC18" i="3" s="1"/>
  <c r="W31" i="3"/>
  <c r="AZ31" i="3"/>
  <c r="BB31" i="3" s="1"/>
  <c r="BC31" i="3" s="1"/>
  <c r="W32" i="6"/>
  <c r="AZ32" i="6"/>
  <c r="BB32" i="6" s="1"/>
  <c r="W15" i="3"/>
  <c r="AZ15" i="3"/>
  <c r="BB15" i="3" s="1"/>
  <c r="BC15" i="3" s="1"/>
  <c r="W32" i="3"/>
  <c r="AZ32" i="3"/>
  <c r="BB32" i="3" s="1"/>
  <c r="BC32" i="3" s="1"/>
  <c r="W29" i="5"/>
  <c r="AZ29" i="5"/>
  <c r="BB29" i="5" s="1"/>
  <c r="W33" i="3"/>
  <c r="AZ33" i="3"/>
  <c r="BB33" i="3" s="1"/>
  <c r="BC33" i="3" s="1"/>
  <c r="W24" i="5"/>
  <c r="AZ24" i="5"/>
  <c r="BB24" i="5" s="1"/>
  <c r="W23" i="5"/>
  <c r="AZ23" i="5"/>
  <c r="BB23" i="5" s="1"/>
  <c r="W24" i="3"/>
  <c r="AZ24" i="3"/>
  <c r="BB24" i="3" s="1"/>
  <c r="BC24" i="3" s="1"/>
  <c r="W23" i="3"/>
  <c r="AZ23" i="3"/>
  <c r="BB23" i="3" s="1"/>
  <c r="BC23" i="3" s="1"/>
  <c r="W14" i="6"/>
  <c r="AZ14" i="6"/>
  <c r="BB14" i="6" s="1"/>
  <c r="W20" i="3"/>
  <c r="AZ20" i="3"/>
  <c r="BB20" i="3" s="1"/>
  <c r="BC20" i="3" s="1"/>
  <c r="W14" i="5"/>
  <c r="AZ14" i="5"/>
  <c r="BB14" i="5" s="1"/>
  <c r="W35" i="3"/>
  <c r="AZ35" i="3"/>
  <c r="BB35" i="3" s="1"/>
  <c r="BC35" i="3" s="1"/>
  <c r="W31" i="6"/>
  <c r="AZ31" i="6"/>
  <c r="BB31" i="6" s="1"/>
  <c r="W20" i="6"/>
  <c r="AZ20" i="6"/>
  <c r="BB20" i="6" s="1"/>
  <c r="E18" i="7" s="1"/>
  <c r="W25" i="5"/>
  <c r="AZ25" i="5"/>
  <c r="BB25" i="5" s="1"/>
  <c r="W17" i="3"/>
  <c r="AZ17" i="3"/>
  <c r="BB17" i="3" s="1"/>
  <c r="BC17" i="3" s="1"/>
  <c r="W19" i="5"/>
  <c r="AZ19" i="5"/>
  <c r="BB19" i="5" s="1"/>
  <c r="W19" i="3"/>
  <c r="AZ19" i="3"/>
  <c r="BB19" i="3" s="1"/>
  <c r="BC19" i="3" s="1"/>
  <c r="W28" i="6"/>
  <c r="AZ28" i="6"/>
  <c r="BB28" i="6" s="1"/>
  <c r="W14" i="3"/>
  <c r="AZ14" i="3"/>
  <c r="BB14" i="3" s="1"/>
  <c r="BC14" i="3" s="1"/>
  <c r="W22" i="5"/>
  <c r="AZ22" i="5"/>
  <c r="BB22" i="5" s="1"/>
  <c r="W33" i="6"/>
  <c r="AZ33" i="6"/>
  <c r="BB33" i="6" s="1"/>
  <c r="W34" i="3"/>
  <c r="AZ34" i="3"/>
  <c r="BB34" i="3" s="1"/>
  <c r="BC34" i="3" s="1"/>
  <c r="W16" i="3"/>
  <c r="AZ16" i="3"/>
  <c r="BB16" i="3" s="1"/>
  <c r="BC16" i="3" s="1"/>
  <c r="W26" i="6"/>
  <c r="AZ26" i="6"/>
  <c r="BB26" i="6" s="1"/>
  <c r="W30" i="3"/>
  <c r="AZ30" i="3"/>
  <c r="BB30" i="3" s="1"/>
  <c r="BC30" i="3" s="1"/>
  <c r="W27" i="5"/>
  <c r="AZ27" i="5"/>
  <c r="BB27" i="5" s="1"/>
  <c r="W27" i="3"/>
  <c r="AZ27" i="3"/>
  <c r="BB27" i="3" s="1"/>
  <c r="BC27" i="3" s="1"/>
  <c r="W35" i="6"/>
  <c r="AZ35" i="6"/>
  <c r="BB35" i="6" s="1"/>
  <c r="W28" i="3"/>
  <c r="AZ28" i="3"/>
  <c r="BB28" i="3" s="1"/>
  <c r="BC28" i="3" s="1"/>
  <c r="W15" i="6"/>
  <c r="AZ15" i="6"/>
  <c r="BB15" i="6" s="1"/>
  <c r="W29" i="3"/>
  <c r="AZ29" i="3"/>
  <c r="BB29" i="3" s="1"/>
  <c r="BC29" i="3" s="1"/>
  <c r="W34" i="5"/>
  <c r="AZ34" i="5"/>
  <c r="BB34" i="5" s="1"/>
  <c r="W16" i="6"/>
  <c r="AZ16" i="6"/>
  <c r="BB16" i="6" s="1"/>
  <c r="W30" i="5"/>
  <c r="AZ30" i="5"/>
  <c r="BB30" i="5" s="1"/>
  <c r="W17" i="5"/>
  <c r="AZ17" i="5"/>
  <c r="BB17" i="5" s="1"/>
  <c r="W12" i="6"/>
  <c r="AZ12" i="6"/>
  <c r="BB12" i="6" s="1"/>
  <c r="W13" i="3"/>
  <c r="AZ13" i="3"/>
  <c r="BB13" i="3" s="1"/>
  <c r="BC13" i="3" s="1"/>
  <c r="W13" i="5"/>
  <c r="AZ13" i="5"/>
  <c r="BB13" i="5" s="1"/>
  <c r="W11" i="3"/>
  <c r="AZ11" i="3"/>
  <c r="BB11" i="3" s="1"/>
  <c r="BC11" i="3" s="1"/>
  <c r="W11" i="5"/>
  <c r="AZ11" i="5"/>
  <c r="BB11" i="5" s="1"/>
  <c r="W10" i="6"/>
  <c r="AZ10" i="6"/>
  <c r="BB10" i="6" s="1"/>
  <c r="AZ10" i="5" l="1"/>
  <c r="BB10" i="5" s="1"/>
  <c r="W10" i="5"/>
  <c r="W51" i="5"/>
  <c r="AZ51" i="5"/>
  <c r="BB51" i="5" s="1"/>
  <c r="W15" i="5"/>
  <c r="AZ15" i="5"/>
  <c r="BB15" i="5" s="1"/>
  <c r="W31" i="5"/>
  <c r="AZ31" i="5"/>
  <c r="BB31" i="5" s="1"/>
  <c r="AZ32" i="5"/>
  <c r="BB32" i="5" s="1"/>
  <c r="W32" i="5"/>
  <c r="W41" i="5"/>
  <c r="AZ41" i="5"/>
  <c r="BB41" i="5" s="1"/>
  <c r="BC36" i="5"/>
  <c r="C34" i="7"/>
  <c r="BC45" i="5"/>
  <c r="C43" i="7"/>
  <c r="BC20" i="5"/>
  <c r="C18" i="7"/>
  <c r="BC26" i="5"/>
  <c r="C24" i="7"/>
  <c r="BC21" i="5"/>
  <c r="C19" i="7"/>
  <c r="BC10" i="5"/>
  <c r="C8" i="7"/>
  <c r="BC38" i="5"/>
  <c r="C36" i="7"/>
  <c r="BC50" i="5"/>
  <c r="C48" i="7"/>
  <c r="BC40" i="5"/>
  <c r="C38" i="7"/>
  <c r="BC39" i="5"/>
  <c r="C37" i="7"/>
  <c r="BC49" i="5"/>
  <c r="C47" i="7"/>
  <c r="BC52" i="5"/>
  <c r="C50" i="7"/>
  <c r="BC42" i="5"/>
  <c r="C40" i="7"/>
  <c r="BC48" i="5"/>
  <c r="C46" i="7"/>
  <c r="BC18" i="5"/>
  <c r="C16" i="7"/>
  <c r="BC29" i="5"/>
  <c r="C27" i="7"/>
  <c r="BC24" i="5"/>
  <c r="C22" i="7"/>
  <c r="BC23" i="5"/>
  <c r="C21" i="7"/>
  <c r="BC14" i="5"/>
  <c r="C12" i="7"/>
  <c r="BC25" i="5"/>
  <c r="C23" i="7"/>
  <c r="BC19" i="5"/>
  <c r="C17" i="7"/>
  <c r="BC22" i="5"/>
  <c r="C20" i="7"/>
  <c r="BC27" i="5"/>
  <c r="C25" i="7"/>
  <c r="BC34" i="5"/>
  <c r="C32" i="7"/>
  <c r="BC30" i="5"/>
  <c r="C28" i="7"/>
  <c r="BC17" i="5"/>
  <c r="C15" i="7"/>
  <c r="BC13" i="5"/>
  <c r="C11" i="7"/>
  <c r="BC11" i="5"/>
  <c r="C9" i="7"/>
  <c r="W17" i="6"/>
  <c r="AZ17" i="6"/>
  <c r="BB17" i="6" s="1"/>
  <c r="BC49" i="6"/>
  <c r="E47" i="7"/>
  <c r="BC30" i="6"/>
  <c r="E28" i="7"/>
  <c r="F28" i="7" s="1"/>
  <c r="G28" i="7" s="1"/>
  <c r="BC27" i="6"/>
  <c r="E25" i="7"/>
  <c r="F25" i="7" s="1"/>
  <c r="G25" i="7" s="1"/>
  <c r="BC24" i="6"/>
  <c r="E22" i="7"/>
  <c r="F22" i="7" s="1"/>
  <c r="G22" i="7" s="1"/>
  <c r="BC38" i="6"/>
  <c r="E36" i="7"/>
  <c r="BC50" i="6"/>
  <c r="E48" i="7"/>
  <c r="BC39" i="6"/>
  <c r="E37" i="7"/>
  <c r="BC52" i="6"/>
  <c r="E50" i="7"/>
  <c r="BC44" i="6"/>
  <c r="E42" i="7"/>
  <c r="BC40" i="6"/>
  <c r="E38" i="7"/>
  <c r="BC51" i="6"/>
  <c r="E49" i="7"/>
  <c r="BC41" i="6"/>
  <c r="E39" i="7"/>
  <c r="BC43" i="6"/>
  <c r="BC47" i="6"/>
  <c r="E45" i="7"/>
  <c r="BC37" i="6"/>
  <c r="E35" i="7"/>
  <c r="BC36" i="6"/>
  <c r="E34" i="7"/>
  <c r="BC32" i="6"/>
  <c r="E30" i="7"/>
  <c r="BC14" i="6"/>
  <c r="E12" i="7"/>
  <c r="F12" i="7" s="1"/>
  <c r="G12" i="7" s="1"/>
  <c r="BC31" i="6"/>
  <c r="E29" i="7"/>
  <c r="BC20" i="6"/>
  <c r="BC28" i="6"/>
  <c r="E26" i="7"/>
  <c r="BC33" i="6"/>
  <c r="E31" i="7"/>
  <c r="BC26" i="6"/>
  <c r="E24" i="7"/>
  <c r="BC35" i="6"/>
  <c r="E33" i="7"/>
  <c r="BC15" i="6"/>
  <c r="E13" i="7"/>
  <c r="BC16" i="6"/>
  <c r="E14" i="7"/>
  <c r="BC12" i="6"/>
  <c r="E10" i="7"/>
  <c r="BC10" i="6"/>
  <c r="E8" i="7"/>
  <c r="AZ45" i="6"/>
  <c r="BB45" i="6" s="1"/>
  <c r="AZ48" i="6"/>
  <c r="BB48" i="6" s="1"/>
  <c r="W30" i="6"/>
  <c r="AZ18" i="6"/>
  <c r="BB18" i="6" s="1"/>
  <c r="AZ28" i="5"/>
  <c r="BB28" i="5" s="1"/>
  <c r="W49" i="6"/>
  <c r="AZ43" i="5"/>
  <c r="BB43" i="5" s="1"/>
  <c r="W36" i="5"/>
  <c r="W27" i="6"/>
  <c r="AZ44" i="5"/>
  <c r="BB44" i="5" s="1"/>
  <c r="AZ46" i="5"/>
  <c r="BB46" i="5" s="1"/>
  <c r="AZ13" i="6"/>
  <c r="BB13" i="6" s="1"/>
  <c r="E11" i="7" s="1"/>
  <c r="W20" i="5"/>
  <c r="AZ23" i="6"/>
  <c r="BB23" i="6" s="1"/>
  <c r="AZ33" i="5"/>
  <c r="BB33" i="5" s="1"/>
  <c r="W21" i="5"/>
  <c r="AZ16" i="5"/>
  <c r="BB16" i="5" s="1"/>
  <c r="AZ29" i="6"/>
  <c r="BB29" i="6" s="1"/>
  <c r="AZ34" i="6"/>
  <c r="BB34" i="6" s="1"/>
  <c r="AZ11" i="6"/>
  <c r="BB11" i="6" s="1"/>
  <c r="AZ47" i="5"/>
  <c r="BB47" i="5" s="1"/>
  <c r="AZ42" i="6"/>
  <c r="BB42" i="6" s="1"/>
  <c r="AZ35" i="5"/>
  <c r="BB35" i="5" s="1"/>
  <c r="W24" i="6"/>
  <c r="W26" i="3"/>
  <c r="AZ12" i="3"/>
  <c r="BB12" i="3" s="1"/>
  <c r="BC12" i="3" s="1"/>
  <c r="W45" i="5"/>
  <c r="W42" i="3"/>
  <c r="V38" i="3"/>
  <c r="W38" i="3" s="1"/>
  <c r="V37" i="3"/>
  <c r="W37" i="3" s="1"/>
  <c r="W26" i="5"/>
  <c r="V25" i="3"/>
  <c r="W25" i="3" s="1"/>
  <c r="V22" i="3"/>
  <c r="W22" i="3" s="1"/>
  <c r="V21" i="3"/>
  <c r="W21" i="3" s="1"/>
  <c r="AZ19" i="6"/>
  <c r="BB19" i="6" s="1"/>
  <c r="AZ12" i="5"/>
  <c r="BB12" i="5" s="1"/>
  <c r="AZ10" i="3"/>
  <c r="BB10" i="3" s="1"/>
  <c r="BC10" i="3" s="1"/>
  <c r="AZ46" i="6"/>
  <c r="BB46" i="6" s="1"/>
  <c r="W38" i="6"/>
  <c r="AZ37" i="5"/>
  <c r="BB37" i="5" s="1"/>
  <c r="AZ25" i="6"/>
  <c r="BB25" i="6" s="1"/>
  <c r="AZ22" i="6"/>
  <c r="BB22" i="6" s="1"/>
  <c r="F8" i="7" l="1"/>
  <c r="G8" i="7" s="1"/>
  <c r="C49" i="7"/>
  <c r="F49" i="7" s="1"/>
  <c r="G49" i="7" s="1"/>
  <c r="BC51" i="5"/>
  <c r="C13" i="7"/>
  <c r="F13" i="7" s="1"/>
  <c r="G13" i="7" s="1"/>
  <c r="BC15" i="5"/>
  <c r="C29" i="7"/>
  <c r="F29" i="7" s="1"/>
  <c r="G29" i="7" s="1"/>
  <c r="BC31" i="5"/>
  <c r="C30" i="7"/>
  <c r="F30" i="7" s="1"/>
  <c r="G30" i="7" s="1"/>
  <c r="BC32" i="5"/>
  <c r="C39" i="7"/>
  <c r="F39" i="7" s="1"/>
  <c r="G39" i="7" s="1"/>
  <c r="BC41" i="5"/>
  <c r="F36" i="7"/>
  <c r="G36" i="7" s="1"/>
  <c r="F48" i="7"/>
  <c r="G48" i="7" s="1"/>
  <c r="F37" i="7"/>
  <c r="G37" i="7" s="1"/>
  <c r="F38" i="7"/>
  <c r="G38" i="7" s="1"/>
  <c r="F47" i="7"/>
  <c r="G47" i="7" s="1"/>
  <c r="F50" i="7"/>
  <c r="G50" i="7" s="1"/>
  <c r="F34" i="7"/>
  <c r="G34" i="7" s="1"/>
  <c r="F18" i="7"/>
  <c r="G18" i="7" s="1"/>
  <c r="F24" i="7"/>
  <c r="G24" i="7" s="1"/>
  <c r="BC28" i="5"/>
  <c r="C26" i="7"/>
  <c r="F26" i="7" s="1"/>
  <c r="G26" i="7" s="1"/>
  <c r="BC43" i="5"/>
  <c r="F41" i="7"/>
  <c r="G41" i="7" s="1"/>
  <c r="BC44" i="5"/>
  <c r="C42" i="7"/>
  <c r="F42" i="7" s="1"/>
  <c r="G42" i="7" s="1"/>
  <c r="BC46" i="5"/>
  <c r="C44" i="7"/>
  <c r="BC33" i="5"/>
  <c r="C31" i="7"/>
  <c r="F31" i="7" s="1"/>
  <c r="G31" i="7" s="1"/>
  <c r="BC16" i="5"/>
  <c r="C14" i="7"/>
  <c r="F14" i="7" s="1"/>
  <c r="G14" i="7" s="1"/>
  <c r="BC47" i="5"/>
  <c r="F45" i="7"/>
  <c r="G45" i="7" s="1"/>
  <c r="BC35" i="5"/>
  <c r="C33" i="7"/>
  <c r="F33" i="7" s="1"/>
  <c r="G33" i="7" s="1"/>
  <c r="BC12" i="5"/>
  <c r="C10" i="7"/>
  <c r="F10" i="7" s="1"/>
  <c r="G10" i="7" s="1"/>
  <c r="BC37" i="5"/>
  <c r="C35" i="7"/>
  <c r="F35" i="7" s="1"/>
  <c r="G35" i="7" s="1"/>
  <c r="E15" i="7"/>
  <c r="F15" i="7" s="1"/>
  <c r="G15" i="7" s="1"/>
  <c r="BC17" i="6"/>
  <c r="BC45" i="6"/>
  <c r="E43" i="7"/>
  <c r="F43" i="7" s="1"/>
  <c r="G43" i="7" s="1"/>
  <c r="BC48" i="6"/>
  <c r="E46" i="7"/>
  <c r="F46" i="7" s="1"/>
  <c r="G46" i="7" s="1"/>
  <c r="BC18" i="6"/>
  <c r="F16" i="7"/>
  <c r="G16" i="7" s="1"/>
  <c r="BC13" i="6"/>
  <c r="F11" i="7"/>
  <c r="G11" i="7" s="1"/>
  <c r="BC23" i="6"/>
  <c r="F21" i="7"/>
  <c r="G21" i="7" s="1"/>
  <c r="BC29" i="6"/>
  <c r="E27" i="7"/>
  <c r="F27" i="7" s="1"/>
  <c r="G27" i="7" s="1"/>
  <c r="BC34" i="6"/>
  <c r="E32" i="7"/>
  <c r="F32" i="7" s="1"/>
  <c r="G32" i="7" s="1"/>
  <c r="BC11" i="6"/>
  <c r="E9" i="7"/>
  <c r="F9" i="7" s="1"/>
  <c r="G9" i="7" s="1"/>
  <c r="BC42" i="6"/>
  <c r="E40" i="7"/>
  <c r="F40" i="7" s="1"/>
  <c r="G40" i="7" s="1"/>
  <c r="BC19" i="6"/>
  <c r="E17" i="7"/>
  <c r="F17" i="7" s="1"/>
  <c r="G17" i="7" s="1"/>
  <c r="BC46" i="6"/>
  <c r="E44" i="7"/>
  <c r="F44" i="7" s="1"/>
  <c r="G44" i="7" s="1"/>
  <c r="BC25" i="6"/>
  <c r="E23" i="7"/>
  <c r="F23" i="7" s="1"/>
  <c r="G23" i="7" s="1"/>
  <c r="BC22" i="6"/>
  <c r="E20" i="7"/>
  <c r="F20" i="7" s="1"/>
  <c r="G20" i="7" s="1"/>
  <c r="AZ21" i="3"/>
  <c r="BB21" i="3" s="1"/>
  <c r="BC21" i="3" s="1"/>
  <c r="AZ22" i="3"/>
  <c r="BB22" i="3" s="1"/>
  <c r="BC22" i="3" s="1"/>
  <c r="AZ25" i="3"/>
  <c r="BB25" i="3" s="1"/>
  <c r="BC25" i="3" s="1"/>
  <c r="AZ38" i="3"/>
  <c r="BB38" i="3" s="1"/>
  <c r="BC38" i="3" s="1"/>
  <c r="AZ37" i="3"/>
  <c r="BB37" i="3" s="1"/>
  <c r="BC37" i="3" s="1"/>
  <c r="T21" i="6"/>
  <c r="U21" i="6" s="1"/>
  <c r="V21" i="6" s="1"/>
  <c r="AZ21" i="6" l="1"/>
  <c r="BB21" i="6" s="1"/>
  <c r="E19" i="7" s="1"/>
  <c r="W21" i="6"/>
  <c r="F19" i="7" l="1"/>
  <c r="G19" i="7" s="1"/>
  <c r="BC21" i="6"/>
</calcChain>
</file>

<file path=xl/sharedStrings.xml><?xml version="1.0" encoding="utf-8"?>
<sst xmlns="http://schemas.openxmlformats.org/spreadsheetml/2006/main" count="173" uniqueCount="77">
  <si>
    <t>SUBJECT: IS 2</t>
  </si>
  <si>
    <t>COURSE/YEAR: BSIT 1D</t>
  </si>
  <si>
    <t>LECTURE ATTENDANCE</t>
  </si>
  <si>
    <t>TIME: 1:00 PM - 5:00 PM</t>
  </si>
  <si>
    <t>ROOM: COMPLAB 4</t>
  </si>
  <si>
    <t>UNITS: 2</t>
  </si>
  <si>
    <t>PRELIM (JANUARY-FEBRUARY)</t>
  </si>
  <si>
    <t>MIDTERM (FEBRUARY-MARCH)</t>
  </si>
  <si>
    <t>FINAL (MARCH-MAY)</t>
  </si>
  <si>
    <t>No.</t>
  </si>
  <si>
    <t>Student Name</t>
  </si>
  <si>
    <t>TOTAL</t>
  </si>
  <si>
    <t>ATTENDANCE</t>
  </si>
  <si>
    <t>ASSIGNMENT/SEATWORK</t>
  </si>
  <si>
    <t>QUIZZES</t>
  </si>
  <si>
    <t>EXAM</t>
  </si>
  <si>
    <t>LECTURE</t>
  </si>
  <si>
    <t>OVERALL TOTAL</t>
  </si>
  <si>
    <t>LABORATORY EXERCISES</t>
  </si>
  <si>
    <t>LABORATORY ASSESSMENT</t>
  </si>
  <si>
    <t>PRELIM GRADE</t>
  </si>
  <si>
    <t>REMARKS</t>
  </si>
  <si>
    <t>LABORATORY</t>
  </si>
  <si>
    <t>MIDTERM GRADE</t>
  </si>
  <si>
    <t>FINAL GRADE</t>
  </si>
  <si>
    <t>TOTAL GRADE</t>
  </si>
  <si>
    <t>LECTURE GRADE</t>
  </si>
  <si>
    <t>LAB. GRADE</t>
  </si>
  <si>
    <t>Alcantara, Albert Marquez</t>
  </si>
  <si>
    <t>Aliaga, Rence Carl Medeloso</t>
  </si>
  <si>
    <t>Almirol, Rheyjan Collado</t>
  </si>
  <si>
    <t>Andiano, Noel Rabago</t>
  </si>
  <si>
    <t>Ante, Clyde Mhyco Mendoza</t>
  </si>
  <si>
    <t>Antiporda, Jay Mark Cabes</t>
  </si>
  <si>
    <t>Aragon, Jaspher Hanly Tejada</t>
  </si>
  <si>
    <t>Armada, Donie Lagania</t>
  </si>
  <si>
    <t>Banquil, Clarissa Marie Gonzaga</t>
  </si>
  <si>
    <t>Bas, Disney Claire Barde</t>
  </si>
  <si>
    <t>Baynosa, Paul Yvanne Alinday</t>
  </si>
  <si>
    <t>Benig, Timothy Jade Crave</t>
  </si>
  <si>
    <t>Bolambao, Elaiza Claire Umbay</t>
  </si>
  <si>
    <t>Bulado, Dexter Camillo</t>
  </si>
  <si>
    <t>Cagang, Anjune Carcueva</t>
  </si>
  <si>
    <t>Datuin, Francis Carl Mag-aso</t>
  </si>
  <si>
    <t>Detoperez, Knytz Panizales</t>
  </si>
  <si>
    <t>Dilanggalen, Hanz Amher Rollo</t>
  </si>
  <si>
    <t>Domingo, Arsenio Jr. Dioleste</t>
  </si>
  <si>
    <t>Donque, Princess Althea Cabalud</t>
  </si>
  <si>
    <t>Duldulao, Clark Anthony Malasador</t>
  </si>
  <si>
    <t>Estorpe, Marjun Gablines</t>
  </si>
  <si>
    <t>Getalla, Jhon Mike Delig</t>
  </si>
  <si>
    <t>Grado, Geron Gregory Lupase</t>
  </si>
  <si>
    <t>Jarina, Jirk Llanita</t>
  </si>
  <si>
    <t>Kalaw, Stephen Val Pajes</t>
  </si>
  <si>
    <t>Lapez, Kobei Ryant Valenzuela</t>
  </si>
  <si>
    <t>Logro, Gerald Capipilan</t>
  </si>
  <si>
    <t>Macas, Joriemel Duman-ag</t>
  </si>
  <si>
    <t>Manticayan, Janine Gurdo</t>
  </si>
  <si>
    <t>Mojal, Mariel Key Sarra</t>
  </si>
  <si>
    <t>Nabua, Riel Andrew Banguiz</t>
  </si>
  <si>
    <t>Nicolas, Beyonce Sophia Tuan</t>
  </si>
  <si>
    <t>Padagas, Karl Robyn Padrones</t>
  </si>
  <si>
    <t>Recarse, Princess Aubrey Grace Requita</t>
  </si>
  <si>
    <t>Sali, Kim Amher Esteban</t>
  </si>
  <si>
    <t>Saludares, Etherlyne Faith Esparas</t>
  </si>
  <si>
    <t>Sanchez, Neil Jimson Casas</t>
  </si>
  <si>
    <t>Silagan, Thyron Cabiles</t>
  </si>
  <si>
    <t>Suerte, Khent Briane Orcasitas</t>
  </si>
  <si>
    <t>Sumugat, Edgaro Jr. Cordevilla</t>
  </si>
  <si>
    <t>Tampus, Cale Janine Bringas</t>
  </si>
  <si>
    <t>Trespeses, Reykarl Pendon</t>
  </si>
  <si>
    <t>Tuloganon, Raffy Verano</t>
  </si>
  <si>
    <t>Verial, Marlou Cebuco</t>
  </si>
  <si>
    <t>Macas, Joriemel Dumam-ag</t>
  </si>
  <si>
    <t>PRELIM</t>
  </si>
  <si>
    <t>MIDTERM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</si>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</sst>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1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36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36"/>
      <color theme="1"/>
      <name val="Times New Roman"/>
      <family val="1"/>
    </font>
    <font>
      <b/>
      <sz val="12"/>
      <color theme="0"/>
      <name val="Times New Roman"/>
      <family val="1"/>
    </font>
    <font>
      <sz val="12"/>
      <color rgb="FFFF0000"/>
      <name val="Times New Roman"/>
      <family val="1"/>
    </font>
    <font>
      <sz val="14"/>
      <color rgb="FFFF0000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F6B26B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E6F4EA"/>
        <bgColor indexed="64"/>
      </patternFill>
    </fill>
    <fill>
      <patternFill patternType="solid">
        <fgColor rgb="FF434343"/>
        <bgColor indexed="64"/>
      </patternFill>
    </fill>
    <fill>
      <patternFill patternType="solid">
        <fgColor rgb="FF1155CC"/>
        <bgColor indexed="64"/>
      </patternFill>
    </fill>
    <fill>
      <patternFill patternType="solid">
        <fgColor rgb="FF38761D"/>
        <bgColor indexed="64"/>
      </patternFill>
    </fill>
  </fills>
  <borders count="8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/>
      <right/>
      <top style="thin">
        <color rgb="FFCCCCCC"/>
      </top>
      <bottom/>
      <diagonal/>
    </border>
    <border>
      <left style="thick">
        <color theme="1"/>
      </left>
      <right style="thin">
        <color theme="1"/>
      </right>
      <top style="thick">
        <color theme="1"/>
      </top>
      <bottom style="thick">
        <color theme="1"/>
      </bottom>
      <diagonal/>
    </border>
    <border>
      <left style="thin">
        <color theme="1"/>
      </left>
      <right style="thin">
        <color theme="1"/>
      </right>
      <top style="thick">
        <color theme="1"/>
      </top>
      <bottom style="thick">
        <color theme="1"/>
      </bottom>
      <diagonal/>
    </border>
    <border>
      <left style="thin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 style="thin">
        <color theme="1"/>
      </right>
      <top style="thick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ck">
        <color theme="1"/>
      </top>
      <bottom style="thin">
        <color theme="1"/>
      </bottom>
      <diagonal/>
    </border>
    <border>
      <left style="thin">
        <color theme="1"/>
      </left>
      <right style="thick">
        <color theme="1"/>
      </right>
      <top style="thick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theme="1"/>
      </left>
      <right/>
      <top style="thick">
        <color theme="1"/>
      </top>
      <bottom style="thin">
        <color theme="1"/>
      </bottom>
      <diagonal/>
    </border>
    <border>
      <left style="thick">
        <color theme="1"/>
      </left>
      <right/>
      <top style="thin">
        <color theme="1"/>
      </top>
      <bottom style="thick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ck">
        <color theme="1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theme="1"/>
      </bottom>
      <diagonal/>
    </border>
    <border>
      <left style="thick">
        <color indexed="64"/>
      </left>
      <right style="thick">
        <color indexed="64"/>
      </right>
      <top style="thick">
        <color theme="1"/>
      </top>
      <bottom style="thin">
        <color theme="1"/>
      </bottom>
      <diagonal/>
    </border>
    <border>
      <left style="thick">
        <color indexed="64"/>
      </left>
      <right style="thick">
        <color indexed="64"/>
      </right>
      <top style="thin">
        <color theme="1"/>
      </top>
      <bottom style="thick">
        <color indexed="64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 style="thick">
        <color indexed="64"/>
      </left>
      <right style="thick">
        <color indexed="64"/>
      </right>
      <top style="thick">
        <color theme="1"/>
      </top>
      <bottom/>
      <diagonal/>
    </border>
    <border>
      <left style="thin">
        <color theme="1"/>
      </left>
      <right style="thick">
        <color theme="1"/>
      </right>
      <top style="thick">
        <color theme="1"/>
      </top>
      <bottom/>
      <diagonal/>
    </border>
    <border>
      <left/>
      <right/>
      <top style="thick">
        <color theme="1"/>
      </top>
      <bottom style="thin">
        <color theme="1"/>
      </bottom>
      <diagonal/>
    </border>
    <border>
      <left/>
      <right/>
      <top style="thick">
        <color theme="1"/>
      </top>
      <bottom/>
      <diagonal/>
    </border>
    <border>
      <left/>
      <right/>
      <top style="thin">
        <color theme="1"/>
      </top>
      <bottom style="thick">
        <color theme="1"/>
      </bottom>
      <diagonal/>
    </border>
    <border>
      <left style="thin">
        <color theme="1"/>
      </left>
      <right style="thick">
        <color theme="1"/>
      </right>
      <top style="thin">
        <color theme="1"/>
      </top>
      <bottom/>
      <diagonal/>
    </border>
    <border>
      <left style="thick">
        <color theme="1"/>
      </left>
      <right style="thin">
        <color theme="1"/>
      </right>
      <top style="thin">
        <color theme="1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1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24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5" fillId="0" borderId="17" xfId="0" applyFont="1" applyBorder="1"/>
    <xf numFmtId="0" fontId="5" fillId="0" borderId="2" xfId="0" applyFont="1" applyBorder="1"/>
    <xf numFmtId="0" fontId="5" fillId="0" borderId="10" xfId="0" applyFont="1" applyBorder="1"/>
    <xf numFmtId="0" fontId="5" fillId="0" borderId="33" xfId="0" applyFont="1" applyBorder="1"/>
    <xf numFmtId="0" fontId="5" fillId="0" borderId="11" xfId="0" applyFont="1" applyBorder="1"/>
    <xf numFmtId="0" fontId="4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6" fontId="4" fillId="4" borderId="27" xfId="0" applyNumberFormat="1" applyFont="1" applyFill="1" applyBorder="1" applyAlignment="1">
      <alignment horizontal="center"/>
    </xf>
    <xf numFmtId="0" fontId="2" fillId="5" borderId="22" xfId="0" applyFont="1" applyFill="1" applyBorder="1"/>
    <xf numFmtId="0" fontId="2" fillId="5" borderId="28" xfId="0" applyFont="1" applyFill="1" applyBorder="1" applyAlignment="1">
      <alignment horizontal="center"/>
    </xf>
    <xf numFmtId="16" fontId="4" fillId="8" borderId="23" xfId="0" applyNumberFormat="1" applyFont="1" applyFill="1" applyBorder="1" applyAlignment="1">
      <alignment horizontal="center"/>
    </xf>
    <xf numFmtId="16" fontId="4" fillId="8" borderId="27" xfId="0" applyNumberFormat="1" applyFont="1" applyFill="1" applyBorder="1" applyAlignment="1">
      <alignment horizontal="center"/>
    </xf>
    <xf numFmtId="0" fontId="4" fillId="5" borderId="32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7" fillId="5" borderId="0" xfId="0" applyFont="1" applyFill="1"/>
    <xf numFmtId="0" fontId="4" fillId="5" borderId="0" xfId="0" applyFont="1" applyFill="1" applyAlignment="1">
      <alignment horizontal="center"/>
    </xf>
    <xf numFmtId="16" fontId="4" fillId="2" borderId="23" xfId="0" applyNumberFormat="1" applyFont="1" applyFill="1" applyBorder="1" applyAlignment="1">
      <alignment horizontal="center"/>
    </xf>
    <xf numFmtId="16" fontId="4" fillId="2" borderId="27" xfId="0" applyNumberFormat="1" applyFont="1" applyFill="1" applyBorder="1" applyAlignment="1">
      <alignment horizontal="center"/>
    </xf>
    <xf numFmtId="0" fontId="5" fillId="11" borderId="16" xfId="0" applyFont="1" applyFill="1" applyBorder="1"/>
    <xf numFmtId="0" fontId="5" fillId="11" borderId="1" xfId="0" applyFont="1" applyFill="1" applyBorder="1"/>
    <xf numFmtId="0" fontId="5" fillId="11" borderId="9" xfId="0" applyFont="1" applyFill="1" applyBorder="1"/>
    <xf numFmtId="0" fontId="5" fillId="6" borderId="16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9" borderId="15" xfId="0" applyFont="1" applyFill="1" applyBorder="1" applyAlignment="1">
      <alignment horizontal="center" vertical="center"/>
    </xf>
    <xf numFmtId="0" fontId="5" fillId="9" borderId="16" xfId="0" applyFont="1" applyFill="1" applyBorder="1" applyAlignment="1">
      <alignment horizontal="center" vertical="center"/>
    </xf>
    <xf numFmtId="0" fontId="5" fillId="9" borderId="7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9" borderId="8" xfId="0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9" fillId="12" borderId="1" xfId="0" applyFont="1" applyFill="1" applyBorder="1" applyAlignment="1">
      <alignment horizontal="center"/>
    </xf>
    <xf numFmtId="0" fontId="9" fillId="12" borderId="2" xfId="0" applyFont="1" applyFill="1" applyBorder="1" applyAlignment="1">
      <alignment horizontal="center"/>
    </xf>
    <xf numFmtId="0" fontId="4" fillId="4" borderId="40" xfId="0" applyFont="1" applyFill="1" applyBorder="1" applyAlignment="1">
      <alignment horizontal="center" vertical="center"/>
    </xf>
    <xf numFmtId="0" fontId="4" fillId="0" borderId="34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4" fillId="0" borderId="0" xfId="0" applyFont="1" applyAlignment="1">
      <alignment horizontal="left" vertical="center" indent="3"/>
    </xf>
    <xf numFmtId="0" fontId="6" fillId="0" borderId="0" xfId="0" applyFont="1" applyAlignment="1">
      <alignment horizontal="left" vertical="center" indent="3"/>
    </xf>
    <xf numFmtId="0" fontId="5" fillId="6" borderId="50" xfId="0" applyFont="1" applyFill="1" applyBorder="1" applyAlignment="1">
      <alignment horizontal="center" vertical="center"/>
    </xf>
    <xf numFmtId="0" fontId="5" fillId="0" borderId="51" xfId="0" applyFont="1" applyBorder="1"/>
    <xf numFmtId="0" fontId="5" fillId="0" borderId="52" xfId="0" applyFont="1" applyBorder="1" applyAlignment="1">
      <alignment horizontal="center"/>
    </xf>
    <xf numFmtId="0" fontId="5" fillId="9" borderId="53" xfId="0" applyFont="1" applyFill="1" applyBorder="1" applyAlignment="1">
      <alignment horizontal="center" vertical="center"/>
    </xf>
    <xf numFmtId="0" fontId="5" fillId="9" borderId="50" xfId="0" applyFont="1" applyFill="1" applyBorder="1" applyAlignment="1">
      <alignment horizontal="center" vertical="center"/>
    </xf>
    <xf numFmtId="0" fontId="5" fillId="0" borderId="54" xfId="0" applyFont="1" applyBorder="1"/>
    <xf numFmtId="0" fontId="5" fillId="0" borderId="55" xfId="0" applyFont="1" applyBorder="1" applyAlignment="1">
      <alignment horizontal="center"/>
    </xf>
    <xf numFmtId="0" fontId="5" fillId="11" borderId="50" xfId="0" applyFont="1" applyFill="1" applyBorder="1"/>
    <xf numFmtId="0" fontId="2" fillId="5" borderId="11" xfId="0" applyFont="1" applyFill="1" applyBorder="1" applyAlignment="1">
      <alignment horizontal="center"/>
    </xf>
    <xf numFmtId="16" fontId="4" fillId="4" borderId="23" xfId="0" applyNumberFormat="1" applyFont="1" applyFill="1" applyBorder="1" applyAlignment="1">
      <alignment horizontal="center"/>
    </xf>
    <xf numFmtId="0" fontId="5" fillId="6" borderId="15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0" borderId="39" xfId="0" applyFont="1" applyBorder="1" applyAlignment="1">
      <alignment horizontal="center"/>
    </xf>
    <xf numFmtId="0" fontId="5" fillId="0" borderId="58" xfId="0" applyFont="1" applyBorder="1" applyAlignment="1">
      <alignment horizontal="center"/>
    </xf>
    <xf numFmtId="0" fontId="4" fillId="0" borderId="19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/>
    </xf>
    <xf numFmtId="0" fontId="4" fillId="0" borderId="59" xfId="0" applyFont="1" applyBorder="1" applyAlignment="1">
      <alignment horizontal="center"/>
    </xf>
    <xf numFmtId="0" fontId="4" fillId="0" borderId="49" xfId="0" applyFont="1" applyBorder="1" applyAlignment="1">
      <alignment horizontal="center"/>
    </xf>
    <xf numFmtId="0" fontId="4" fillId="0" borderId="50" xfId="0" applyFont="1" applyBorder="1" applyAlignment="1">
      <alignment horizontal="center"/>
    </xf>
    <xf numFmtId="0" fontId="4" fillId="5" borderId="61" xfId="0" applyFont="1" applyFill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0" fontId="4" fillId="0" borderId="63" xfId="0" applyFont="1" applyBorder="1" applyAlignment="1">
      <alignment horizontal="center" vertical="center"/>
    </xf>
    <xf numFmtId="0" fontId="4" fillId="0" borderId="64" xfId="0" applyFont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67" xfId="0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65" xfId="0" applyFont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5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39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75" xfId="0" applyFont="1" applyBorder="1" applyAlignment="1">
      <alignment horizontal="center" vertical="center"/>
    </xf>
    <xf numFmtId="0" fontId="4" fillId="0" borderId="76" xfId="0" applyFont="1" applyBorder="1" applyAlignment="1">
      <alignment horizontal="center" vertical="center"/>
    </xf>
    <xf numFmtId="0" fontId="4" fillId="0" borderId="79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/>
    </xf>
    <xf numFmtId="0" fontId="4" fillId="0" borderId="5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86" xfId="0" applyFont="1" applyBorder="1"/>
    <xf numFmtId="0" fontId="4" fillId="0" borderId="87" xfId="0" applyFont="1" applyBorder="1" applyAlignment="1">
      <alignment horizontal="center" vertical="center"/>
    </xf>
    <xf numFmtId="0" fontId="4" fillId="0" borderId="56" xfId="0" applyFont="1" applyBorder="1"/>
    <xf numFmtId="1" fontId="4" fillId="4" borderId="40" xfId="0" applyNumberFormat="1" applyFont="1" applyFill="1" applyBorder="1" applyAlignment="1">
      <alignment horizontal="center" vertical="center"/>
    </xf>
    <xf numFmtId="1" fontId="4" fillId="6" borderId="40" xfId="0" applyNumberFormat="1" applyFont="1" applyFill="1" applyBorder="1" applyAlignment="1">
      <alignment horizontal="center" vertical="center"/>
    </xf>
    <xf numFmtId="1" fontId="4" fillId="4" borderId="4" xfId="0" applyNumberFormat="1" applyFont="1" applyFill="1" applyBorder="1" applyAlignment="1">
      <alignment horizontal="center" vertical="center"/>
    </xf>
    <xf numFmtId="1" fontId="4" fillId="0" borderId="61" xfId="0" applyNumberFormat="1" applyFont="1" applyBorder="1" applyAlignment="1">
      <alignment horizontal="center" vertical="center"/>
    </xf>
    <xf numFmtId="1" fontId="4" fillId="0" borderId="25" xfId="0" applyNumberFormat="1" applyFont="1" applyBorder="1" applyAlignment="1">
      <alignment horizontal="center" vertical="center"/>
    </xf>
    <xf numFmtId="1" fontId="4" fillId="0" borderId="64" xfId="0" applyNumberFormat="1" applyFont="1" applyBorder="1" applyAlignment="1">
      <alignment horizontal="center" vertical="center"/>
    </xf>
    <xf numFmtId="1" fontId="4" fillId="2" borderId="4" xfId="0" applyNumberFormat="1" applyFont="1" applyFill="1" applyBorder="1" applyAlignment="1">
      <alignment horizontal="center"/>
    </xf>
    <xf numFmtId="1" fontId="4" fillId="0" borderId="25" xfId="0" applyNumberFormat="1" applyFont="1" applyBorder="1" applyAlignment="1">
      <alignment horizontal="center"/>
    </xf>
    <xf numFmtId="1" fontId="4" fillId="2" borderId="38" xfId="0" applyNumberFormat="1" applyFont="1" applyFill="1" applyBorder="1" applyAlignment="1">
      <alignment horizontal="center" vertical="center"/>
    </xf>
    <xf numFmtId="1" fontId="4" fillId="11" borderId="4" xfId="0" applyNumberFormat="1" applyFont="1" applyFill="1" applyBorder="1" applyAlignment="1">
      <alignment horizontal="center"/>
    </xf>
    <xf numFmtId="1" fontId="4" fillId="11" borderId="39" xfId="0" applyNumberFormat="1" applyFont="1" applyFill="1" applyBorder="1" applyAlignment="1">
      <alignment horizontal="center"/>
    </xf>
    <xf numFmtId="1" fontId="4" fillId="11" borderId="21" xfId="0" applyNumberFormat="1" applyFont="1" applyFill="1" applyBorder="1" applyAlignment="1">
      <alignment horizontal="center"/>
    </xf>
    <xf numFmtId="1" fontId="4" fillId="11" borderId="38" xfId="0" applyNumberFormat="1" applyFont="1" applyFill="1" applyBorder="1" applyAlignment="1">
      <alignment horizontal="center"/>
    </xf>
    <xf numFmtId="1" fontId="4" fillId="0" borderId="71" xfId="0" applyNumberFormat="1" applyFont="1" applyBorder="1" applyAlignment="1">
      <alignment horizontal="center" vertical="center"/>
    </xf>
    <xf numFmtId="1" fontId="4" fillId="0" borderId="75" xfId="0" applyNumberFormat="1" applyFont="1" applyBorder="1" applyAlignment="1">
      <alignment horizontal="center" vertical="center"/>
    </xf>
    <xf numFmtId="1" fontId="4" fillId="0" borderId="81" xfId="0" applyNumberFormat="1" applyFont="1" applyBorder="1" applyAlignment="1">
      <alignment horizontal="center" vertical="center"/>
    </xf>
    <xf numFmtId="1" fontId="4" fillId="0" borderId="76" xfId="0" applyNumberFormat="1" applyFont="1" applyBorder="1" applyAlignment="1">
      <alignment horizontal="center" vertical="center"/>
    </xf>
    <xf numFmtId="1" fontId="4" fillId="0" borderId="78" xfId="0" applyNumberFormat="1" applyFont="1" applyBorder="1" applyAlignment="1">
      <alignment horizontal="center" vertical="center"/>
    </xf>
    <xf numFmtId="1" fontId="4" fillId="0" borderId="79" xfId="0" applyNumberFormat="1" applyFont="1" applyBorder="1" applyAlignment="1">
      <alignment horizontal="center" vertical="center"/>
    </xf>
    <xf numFmtId="1" fontId="4" fillId="0" borderId="82" xfId="0" applyNumberFormat="1" applyFont="1" applyBorder="1" applyAlignment="1">
      <alignment horizontal="center" vertical="center"/>
    </xf>
    <xf numFmtId="1" fontId="4" fillId="0" borderId="40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1" fontId="4" fillId="0" borderId="66" xfId="0" applyNumberFormat="1" applyFont="1" applyBorder="1" applyAlignment="1">
      <alignment horizontal="center" vertical="center"/>
    </xf>
    <xf numFmtId="1" fontId="4" fillId="5" borderId="61" xfId="0" applyNumberFormat="1" applyFont="1" applyFill="1" applyBorder="1" applyAlignment="1">
      <alignment horizontal="center" vertical="center"/>
    </xf>
    <xf numFmtId="1" fontId="4" fillId="0" borderId="8" xfId="0" applyNumberFormat="1" applyFont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/>
    </xf>
    <xf numFmtId="1" fontId="4" fillId="0" borderId="34" xfId="0" applyNumberFormat="1" applyFont="1" applyBorder="1" applyAlignment="1">
      <alignment horizontal="center" vertical="center"/>
    </xf>
    <xf numFmtId="1" fontId="4" fillId="4" borderId="66" xfId="0" applyNumberFormat="1" applyFont="1" applyFill="1" applyBorder="1" applyAlignment="1">
      <alignment horizontal="center" vertical="center"/>
    </xf>
    <xf numFmtId="1" fontId="4" fillId="0" borderId="19" xfId="0" applyNumberFormat="1" applyFont="1" applyBorder="1" applyAlignment="1">
      <alignment horizontal="center" vertical="center"/>
    </xf>
    <xf numFmtId="1" fontId="4" fillId="4" borderId="28" xfId="0" applyNumberFormat="1" applyFont="1" applyFill="1" applyBorder="1" applyAlignment="1">
      <alignment horizontal="center" vertical="center"/>
    </xf>
    <xf numFmtId="1" fontId="4" fillId="0" borderId="62" xfId="0" applyNumberFormat="1" applyFont="1" applyBorder="1" applyAlignment="1">
      <alignment horizontal="center" vertical="center"/>
    </xf>
    <xf numFmtId="1" fontId="4" fillId="0" borderId="15" xfId="0" applyNumberFormat="1" applyFont="1" applyBorder="1" applyAlignment="1">
      <alignment horizontal="center" vertical="center"/>
    </xf>
    <xf numFmtId="1" fontId="4" fillId="0" borderId="16" xfId="0" applyNumberFormat="1" applyFont="1" applyBorder="1" applyAlignment="1">
      <alignment horizontal="center" vertical="center"/>
    </xf>
    <xf numFmtId="1" fontId="4" fillId="0" borderId="33" xfId="0" applyNumberFormat="1" applyFont="1" applyBorder="1" applyAlignment="1">
      <alignment horizontal="center" vertical="center"/>
    </xf>
    <xf numFmtId="1" fontId="4" fillId="0" borderId="20" xfId="0" applyNumberFormat="1" applyFont="1" applyBorder="1" applyAlignment="1">
      <alignment horizontal="center" vertical="center"/>
    </xf>
    <xf numFmtId="1" fontId="4" fillId="0" borderId="67" xfId="0" applyNumberFormat="1" applyFont="1" applyBorder="1" applyAlignment="1">
      <alignment horizontal="center" vertical="center"/>
    </xf>
    <xf numFmtId="1" fontId="4" fillId="0" borderId="31" xfId="0" applyNumberFormat="1" applyFont="1" applyBorder="1" applyAlignment="1">
      <alignment horizontal="center" vertical="center"/>
    </xf>
    <xf numFmtId="1" fontId="4" fillId="0" borderId="39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4" fillId="0" borderId="11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1" fontId="4" fillId="0" borderId="68" xfId="0" applyNumberFormat="1" applyFont="1" applyBorder="1" applyAlignment="1">
      <alignment horizontal="center" vertical="center"/>
    </xf>
    <xf numFmtId="1" fontId="4" fillId="0" borderId="36" xfId="0" applyNumberFormat="1" applyFont="1" applyBorder="1" applyAlignment="1">
      <alignment horizontal="center" vertical="center"/>
    </xf>
    <xf numFmtId="1" fontId="4" fillId="0" borderId="63" xfId="0" applyNumberFormat="1" applyFont="1" applyBorder="1" applyAlignment="1">
      <alignment horizontal="center" vertical="center"/>
    </xf>
    <xf numFmtId="1" fontId="4" fillId="0" borderId="41" xfId="0" applyNumberFormat="1" applyFont="1" applyBorder="1" applyAlignment="1">
      <alignment horizontal="center" vertical="center"/>
    </xf>
    <xf numFmtId="1" fontId="4" fillId="0" borderId="59" xfId="0" applyNumberFormat="1" applyFont="1" applyBorder="1" applyAlignment="1">
      <alignment horizontal="center" vertical="center"/>
    </xf>
    <xf numFmtId="1" fontId="4" fillId="0" borderId="65" xfId="0" applyNumberFormat="1" applyFont="1" applyBorder="1" applyAlignment="1">
      <alignment horizontal="center" vertical="center"/>
    </xf>
    <xf numFmtId="1" fontId="4" fillId="0" borderId="60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/>
    </xf>
    <xf numFmtId="1" fontId="4" fillId="6" borderId="4" xfId="0" applyNumberFormat="1" applyFont="1" applyFill="1" applyBorder="1" applyAlignment="1">
      <alignment horizontal="center" vertical="center"/>
    </xf>
    <xf numFmtId="1" fontId="4" fillId="0" borderId="28" xfId="0" applyNumberFormat="1" applyFont="1" applyBorder="1" applyAlignment="1">
      <alignment horizontal="center" vertical="center"/>
    </xf>
    <xf numFmtId="164" fontId="10" fillId="0" borderId="4" xfId="0" applyNumberFormat="1" applyFont="1" applyBorder="1" applyAlignment="1">
      <alignment horizontal="center" vertical="center"/>
    </xf>
    <xf numFmtId="2" fontId="10" fillId="0" borderId="4" xfId="0" applyNumberFormat="1" applyFont="1" applyBorder="1" applyAlignment="1">
      <alignment horizontal="center"/>
    </xf>
    <xf numFmtId="164" fontId="10" fillId="0" borderId="4" xfId="0" applyNumberFormat="1" applyFont="1" applyBorder="1" applyAlignment="1">
      <alignment horizontal="center"/>
    </xf>
    <xf numFmtId="164" fontId="10" fillId="0" borderId="28" xfId="0" applyNumberFormat="1" applyFont="1" applyBorder="1" applyAlignment="1">
      <alignment horizontal="center" vertical="center"/>
    </xf>
    <xf numFmtId="164" fontId="10" fillId="0" borderId="31" xfId="0" applyNumberFormat="1" applyFont="1" applyBorder="1" applyAlignment="1">
      <alignment horizontal="center" vertical="center"/>
    </xf>
    <xf numFmtId="0" fontId="7" fillId="0" borderId="1" xfId="0" applyFont="1" applyBorder="1"/>
    <xf numFmtId="0" fontId="7" fillId="0" borderId="1" xfId="0" applyFont="1" applyBorder="1" applyAlignment="1">
      <alignment horizontal="center" vertical="center"/>
    </xf>
    <xf numFmtId="0" fontId="5" fillId="0" borderId="1" xfId="0" applyFont="1" applyBorder="1"/>
    <xf numFmtId="1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0" borderId="0" xfId="0" applyFont="1" applyAlignment="1">
      <alignment horizontal="left" vertical="center" indent="3"/>
    </xf>
    <xf numFmtId="0" fontId="10" fillId="0" borderId="87" xfId="0" applyFont="1" applyBorder="1" applyAlignment="1">
      <alignment horizontal="center" vertical="center"/>
    </xf>
    <xf numFmtId="1" fontId="10" fillId="0" borderId="28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0" fontId="10" fillId="0" borderId="53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10" fillId="0" borderId="5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63" xfId="0" applyFont="1" applyBorder="1" applyAlignment="1">
      <alignment horizontal="center" vertical="center"/>
    </xf>
    <xf numFmtId="1" fontId="10" fillId="6" borderId="40" xfId="0" applyNumberFormat="1" applyFont="1" applyFill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0" xfId="0" applyFont="1"/>
    <xf numFmtId="0" fontId="10" fillId="0" borderId="53" xfId="0" applyFont="1" applyBorder="1" applyAlignment="1">
      <alignment horizontal="center"/>
    </xf>
    <xf numFmtId="0" fontId="10" fillId="0" borderId="50" xfId="0" applyFont="1" applyBorder="1" applyAlignment="1">
      <alignment horizontal="center"/>
    </xf>
    <xf numFmtId="0" fontId="10" fillId="0" borderId="54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1" fontId="10" fillId="0" borderId="4" xfId="0" applyNumberFormat="1" applyFont="1" applyBorder="1" applyAlignment="1">
      <alignment horizontal="center"/>
    </xf>
    <xf numFmtId="0" fontId="10" fillId="0" borderId="51" xfId="0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1" fontId="10" fillId="11" borderId="4" xfId="0" applyNumberFormat="1" applyFont="1" applyFill="1" applyBorder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5" fillId="11" borderId="15" xfId="0" applyFont="1" applyFill="1" applyBorder="1" applyAlignment="1">
      <alignment horizontal="center"/>
    </xf>
    <xf numFmtId="0" fontId="5" fillId="11" borderId="16" xfId="0" applyFont="1" applyFill="1" applyBorder="1" applyAlignment="1">
      <alignment horizontal="center"/>
    </xf>
    <xf numFmtId="0" fontId="5" fillId="11" borderId="7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center"/>
    </xf>
    <xf numFmtId="0" fontId="5" fillId="11" borderId="53" xfId="0" applyFont="1" applyFill="1" applyBorder="1" applyAlignment="1">
      <alignment horizontal="center"/>
    </xf>
    <xf numFmtId="0" fontId="5" fillId="11" borderId="50" xfId="0" applyFont="1" applyFill="1" applyBorder="1" applyAlignment="1">
      <alignment horizontal="center"/>
    </xf>
    <xf numFmtId="0" fontId="5" fillId="11" borderId="8" xfId="0" applyFont="1" applyFill="1" applyBorder="1" applyAlignment="1">
      <alignment horizontal="center"/>
    </xf>
    <xf numFmtId="0" fontId="5" fillId="11" borderId="9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9" fillId="13" borderId="18" xfId="0" applyFont="1" applyFill="1" applyBorder="1" applyAlignment="1">
      <alignment horizontal="center"/>
    </xf>
    <xf numFmtId="0" fontId="9" fillId="14" borderId="18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2" fillId="3" borderId="38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35" xfId="0" applyFont="1" applyFill="1" applyBorder="1" applyAlignment="1">
      <alignment horizontal="center"/>
    </xf>
    <xf numFmtId="0" fontId="2" fillId="0" borderId="37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9" fontId="4" fillId="0" borderId="5" xfId="0" applyNumberFormat="1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9" fontId="4" fillId="0" borderId="15" xfId="0" applyNumberFormat="1" applyFont="1" applyBorder="1" applyAlignment="1">
      <alignment horizontal="center"/>
    </xf>
    <xf numFmtId="9" fontId="4" fillId="0" borderId="16" xfId="0" applyNumberFormat="1" applyFont="1" applyBorder="1" applyAlignment="1">
      <alignment horizontal="center"/>
    </xf>
    <xf numFmtId="9" fontId="4" fillId="0" borderId="69" xfId="0" applyNumberFormat="1" applyFont="1" applyBorder="1" applyAlignment="1">
      <alignment horizontal="center"/>
    </xf>
    <xf numFmtId="9" fontId="4" fillId="0" borderId="70" xfId="0" applyNumberFormat="1" applyFont="1" applyBorder="1" applyAlignment="1">
      <alignment horizontal="center"/>
    </xf>
    <xf numFmtId="9" fontId="4" fillId="0" borderId="6" xfId="0" applyNumberFormat="1" applyFont="1" applyBorder="1" applyAlignment="1">
      <alignment horizontal="center"/>
    </xf>
    <xf numFmtId="9" fontId="4" fillId="0" borderId="13" xfId="0" applyNumberFormat="1" applyFont="1" applyBorder="1" applyAlignment="1">
      <alignment horizontal="center"/>
    </xf>
    <xf numFmtId="9" fontId="4" fillId="0" borderId="14" xfId="0" applyNumberFormat="1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2" fillId="0" borderId="45" xfId="0" applyFont="1" applyBorder="1" applyAlignment="1">
      <alignment horizontal="center"/>
    </xf>
    <xf numFmtId="0" fontId="2" fillId="0" borderId="46" xfId="0" applyFont="1" applyBorder="1" applyAlignment="1">
      <alignment horizontal="center" wrapText="1"/>
    </xf>
    <xf numFmtId="0" fontId="2" fillId="0" borderId="85" xfId="0" applyFont="1" applyBorder="1" applyAlignment="1">
      <alignment horizontal="center" wrapText="1"/>
    </xf>
    <xf numFmtId="0" fontId="2" fillId="0" borderId="47" xfId="0" applyFont="1" applyBorder="1" applyAlignment="1">
      <alignment horizontal="center" vertical="center" wrapText="1"/>
    </xf>
    <xf numFmtId="0" fontId="2" fillId="0" borderId="73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 wrapText="1"/>
    </xf>
    <xf numFmtId="0" fontId="2" fillId="0" borderId="84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3" borderId="37" xfId="0" applyFont="1" applyFill="1" applyBorder="1" applyAlignment="1">
      <alignment horizontal="center"/>
    </xf>
    <xf numFmtId="0" fontId="2" fillId="3" borderId="56" xfId="0" applyFont="1" applyFill="1" applyBorder="1" applyAlignment="1">
      <alignment horizontal="center"/>
    </xf>
    <xf numFmtId="0" fontId="2" fillId="3" borderId="57" xfId="0" applyFont="1" applyFill="1" applyBorder="1" applyAlignment="1">
      <alignment horizontal="center"/>
    </xf>
    <xf numFmtId="0" fontId="2" fillId="7" borderId="37" xfId="0" applyFont="1" applyFill="1" applyBorder="1" applyAlignment="1">
      <alignment horizontal="center"/>
    </xf>
    <xf numFmtId="0" fontId="2" fillId="7" borderId="56" xfId="0" applyFont="1" applyFill="1" applyBorder="1" applyAlignment="1">
      <alignment horizontal="center"/>
    </xf>
    <xf numFmtId="0" fontId="2" fillId="7" borderId="57" xfId="0" applyFont="1" applyFill="1" applyBorder="1" applyAlignment="1">
      <alignment horizontal="center"/>
    </xf>
    <xf numFmtId="0" fontId="2" fillId="10" borderId="37" xfId="0" applyFont="1" applyFill="1" applyBorder="1" applyAlignment="1">
      <alignment horizontal="center"/>
    </xf>
    <xf numFmtId="0" fontId="2" fillId="10" borderId="56" xfId="0" applyFont="1" applyFill="1" applyBorder="1" applyAlignment="1">
      <alignment horizontal="center"/>
    </xf>
    <xf numFmtId="0" fontId="2" fillId="10" borderId="57" xfId="0" applyFont="1" applyFill="1" applyBorder="1" applyAlignment="1">
      <alignment horizontal="center"/>
    </xf>
    <xf numFmtId="0" fontId="2" fillId="0" borderId="74" xfId="0" applyFont="1" applyBorder="1" applyAlignment="1">
      <alignment horizontal="center"/>
    </xf>
    <xf numFmtId="0" fontId="2" fillId="0" borderId="80" xfId="0" applyFont="1" applyBorder="1" applyAlignment="1">
      <alignment horizontal="center"/>
    </xf>
    <xf numFmtId="0" fontId="2" fillId="0" borderId="71" xfId="0" applyFont="1" applyBorder="1" applyAlignment="1">
      <alignment horizontal="center" wrapText="1"/>
    </xf>
    <xf numFmtId="0" fontId="2" fillId="0" borderId="72" xfId="0" applyFont="1" applyBorder="1" applyAlignment="1">
      <alignment horizontal="center" wrapText="1"/>
    </xf>
    <xf numFmtId="0" fontId="2" fillId="0" borderId="75" xfId="0" applyFont="1" applyBorder="1" applyAlignment="1">
      <alignment horizontal="center" vertical="center" wrapText="1"/>
    </xf>
    <xf numFmtId="0" fontId="2" fillId="0" borderId="77" xfId="0" applyFont="1" applyBorder="1" applyAlignment="1">
      <alignment horizontal="center" vertical="center" wrapText="1"/>
    </xf>
    <xf numFmtId="0" fontId="2" fillId="0" borderId="81" xfId="0" applyFont="1" applyBorder="1" applyAlignment="1">
      <alignment horizontal="center" vertical="center" wrapText="1"/>
    </xf>
    <xf numFmtId="0" fontId="2" fillId="0" borderId="83" xfId="0" applyFont="1" applyBorder="1" applyAlignment="1">
      <alignment horizontal="center" vertical="center" wrapText="1"/>
    </xf>
    <xf numFmtId="0" fontId="8" fillId="0" borderId="42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2" fillId="3" borderId="39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ill>
        <patternFill>
          <bgColor rgb="FFD9EAD3"/>
        </patternFill>
      </fill>
    </dxf>
    <dxf>
      <fill>
        <patternFill>
          <bgColor rgb="FFF4C7C3"/>
        </patternFill>
      </fill>
    </dxf>
    <dxf>
      <fill>
        <patternFill>
          <bgColor rgb="FFF4C7C3"/>
        </patternFill>
      </fill>
    </dxf>
    <dxf>
      <fill>
        <patternFill>
          <bgColor rgb="FFD9EAD3"/>
        </patternFill>
      </fill>
    </dxf>
    <dxf>
      <fill>
        <patternFill patternType="solid">
          <bgColor rgb="FFD9EAD3"/>
        </patternFill>
      </fill>
    </dxf>
    <dxf>
      <fill>
        <patternFill>
          <bgColor rgb="FFF4C7C3"/>
        </patternFill>
      </fill>
    </dxf>
    <dxf>
      <fill>
        <patternFill>
          <bgColor rgb="FFD9EAD3"/>
        </patternFill>
      </fill>
    </dxf>
    <dxf>
      <fill>
        <patternFill>
          <bgColor rgb="FFF4C7C3"/>
        </patternFill>
      </fill>
    </dxf>
    <dxf>
      <fill>
        <patternFill>
          <bgColor rgb="FFF4C7C3"/>
        </patternFill>
      </fill>
    </dxf>
    <dxf>
      <fill>
        <patternFill>
          <bgColor rgb="FFD9EAD3"/>
        </patternFill>
      </fill>
    </dxf>
    <dxf>
      <fill>
        <patternFill patternType="solid">
          <bgColor rgb="FFD9EAD3"/>
        </patternFill>
      </fill>
    </dxf>
    <dxf>
      <fill>
        <patternFill>
          <bgColor rgb="FFF4C7C3"/>
        </patternFill>
      </fill>
    </dxf>
    <dxf>
      <fill>
        <patternFill>
          <bgColor rgb="FFD9EAD3"/>
        </patternFill>
      </fill>
    </dxf>
    <dxf>
      <fill>
        <patternFill>
          <bgColor rgb="FFF4C7C3"/>
        </patternFill>
      </fill>
    </dxf>
    <dxf>
      <fill>
        <patternFill>
          <bgColor rgb="FFF4C7C3"/>
        </patternFill>
      </fill>
    </dxf>
    <dxf>
      <fill>
        <patternFill>
          <bgColor rgb="FFD9EAD3"/>
        </patternFill>
      </fill>
    </dxf>
    <dxf>
      <fill>
        <patternFill patternType="solid">
          <bgColor rgb="FFD9EAD3"/>
        </patternFill>
      </fill>
    </dxf>
    <dxf>
      <fill>
        <patternFill>
          <bgColor rgb="FFF4C7C3"/>
        </patternFill>
      </fill>
    </dxf>
    <dxf>
      <fill>
        <patternFill>
          <bgColor rgb="FFF4C7C3"/>
        </patternFill>
      </fill>
    </dxf>
    <dxf>
      <fill>
        <patternFill>
          <bgColor rgb="FFF4C7C3"/>
        </patternFill>
      </fill>
    </dxf>
    <dxf>
      <fill>
        <patternFill>
          <bgColor rgb="FFF4C7C3"/>
        </patternFill>
      </fill>
    </dxf>
  </dxfs>
  <tableStyles count="0" defaultTableStyle="TableStyleMedium2" defaultPivotStyle="PivotStyleLight16"/>
  <colors>
    <mruColors>
      <color rgb="FFF4C7C3"/>
      <color rgb="FFD9EAD3"/>
      <color rgb="FFCCCCCC"/>
      <color rgb="FFE6F4EA"/>
      <color rgb="FFE8F0FE"/>
      <color rgb="FFC9DAF8"/>
      <color rgb="FF6D9EEB"/>
      <color rgb="FFFFF2CC"/>
      <color rgb="FF38761D"/>
      <color rgb="FF1155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CF204-B38A-4750-A500-F15FEC652EBB}">
  <dimension ref="A1:AD53"/>
  <sheetViews>
    <sheetView topLeftCell="B1" zoomScale="65" zoomScaleNormal="67" workbookViewId="0">
      <selection activeCell="Z29" sqref="Z29"/>
    </sheetView>
  </sheetViews>
  <sheetFormatPr defaultRowHeight="14.4" x14ac:dyDescent="0.3"/>
  <cols>
    <col min="1" max="1" width="4.77734375" customWidth="1"/>
    <col min="2" max="2" width="53.77734375" customWidth="1"/>
    <col min="17" max="17" width="10.44140625" customWidth="1"/>
    <col min="21" max="21" width="10.21875" customWidth="1"/>
    <col min="30" max="30" width="28.5546875" customWidth="1"/>
  </cols>
  <sheetData>
    <row r="1" spans="1:30" ht="15.6" x14ac:dyDescent="0.3">
      <c r="A1" s="1"/>
      <c r="B1" s="2" t="s">
        <v>0</v>
      </c>
    </row>
    <row r="2" spans="1:30" ht="15.6" x14ac:dyDescent="0.3">
      <c r="A2" s="1"/>
      <c r="B2" s="2" t="s">
        <v>1</v>
      </c>
      <c r="D2" s="266" t="s">
        <v>2</v>
      </c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7"/>
      <c r="W2" s="267"/>
      <c r="X2" s="267"/>
      <c r="Y2" s="267"/>
      <c r="Z2" s="267"/>
      <c r="AA2" s="267"/>
    </row>
    <row r="3" spans="1:30" ht="15.6" x14ac:dyDescent="0.3">
      <c r="A3" s="1"/>
      <c r="B3" s="2" t="s">
        <v>3</v>
      </c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267"/>
      <c r="Q3" s="267"/>
      <c r="R3" s="267"/>
      <c r="S3" s="267"/>
      <c r="T3" s="267"/>
      <c r="U3" s="267"/>
      <c r="V3" s="267"/>
      <c r="W3" s="267"/>
      <c r="X3" s="267"/>
      <c r="Y3" s="267"/>
      <c r="Z3" s="267"/>
      <c r="AA3" s="267"/>
    </row>
    <row r="4" spans="1:30" ht="15.6" x14ac:dyDescent="0.3">
      <c r="A4" s="1"/>
      <c r="B4" s="2" t="s">
        <v>4</v>
      </c>
      <c r="D4" s="267"/>
      <c r="E4" s="267"/>
      <c r="F4" s="267"/>
      <c r="G4" s="267"/>
      <c r="H4" s="267"/>
      <c r="I4" s="267"/>
      <c r="J4" s="267"/>
      <c r="K4" s="267"/>
      <c r="L4" s="267"/>
      <c r="M4" s="267"/>
      <c r="N4" s="267"/>
      <c r="O4" s="267"/>
      <c r="P4" s="267"/>
      <c r="Q4" s="267"/>
      <c r="R4" s="267"/>
      <c r="S4" s="267"/>
      <c r="T4" s="267"/>
      <c r="U4" s="267"/>
      <c r="V4" s="267"/>
      <c r="W4" s="267"/>
      <c r="X4" s="267"/>
      <c r="Y4" s="267"/>
      <c r="Z4" s="267"/>
      <c r="AA4" s="267"/>
    </row>
    <row r="5" spans="1:30" ht="16.2" thickBot="1" x14ac:dyDescent="0.35">
      <c r="A5" s="1"/>
      <c r="B5" s="2" t="s">
        <v>5</v>
      </c>
    </row>
    <row r="6" spans="1:30" ht="16.8" thickTop="1" thickBot="1" x14ac:dyDescent="0.35">
      <c r="A6" s="3"/>
      <c r="B6" s="3"/>
      <c r="C6" s="268" t="s">
        <v>6</v>
      </c>
      <c r="D6" s="269"/>
      <c r="E6" s="269"/>
      <c r="F6" s="269"/>
      <c r="G6" s="269"/>
      <c r="H6" s="269"/>
      <c r="I6" s="269"/>
      <c r="J6" s="270"/>
      <c r="L6" s="271" t="s">
        <v>7</v>
      </c>
      <c r="M6" s="272"/>
      <c r="N6" s="272"/>
      <c r="O6" s="272"/>
      <c r="P6" s="272"/>
      <c r="Q6" s="272"/>
      <c r="R6" s="272"/>
      <c r="S6" s="273"/>
      <c r="T6" s="5"/>
      <c r="U6" s="274" t="s">
        <v>8</v>
      </c>
      <c r="V6" s="275"/>
      <c r="W6" s="275"/>
      <c r="X6" s="275"/>
      <c r="Y6" s="275"/>
      <c r="Z6" s="275"/>
      <c r="AA6" s="275"/>
      <c r="AB6" s="276"/>
    </row>
    <row r="7" spans="1:30" ht="16.8" thickTop="1" thickBot="1" x14ac:dyDescent="0.35">
      <c r="A7" s="62" t="s">
        <v>9</v>
      </c>
      <c r="B7" s="80" t="s">
        <v>10</v>
      </c>
      <c r="C7" s="81">
        <v>46030</v>
      </c>
      <c r="D7" s="39">
        <v>46037</v>
      </c>
      <c r="E7" s="39">
        <v>46044</v>
      </c>
      <c r="F7" s="39">
        <v>46051</v>
      </c>
      <c r="G7" s="39">
        <v>46058</v>
      </c>
      <c r="H7" s="39">
        <v>46065</v>
      </c>
      <c r="I7" s="40"/>
      <c r="J7" s="41" t="s">
        <v>11</v>
      </c>
      <c r="K7" s="46"/>
      <c r="L7" s="42">
        <v>46086</v>
      </c>
      <c r="M7" s="43">
        <v>46093</v>
      </c>
      <c r="N7" s="43">
        <v>46100</v>
      </c>
      <c r="O7" s="43"/>
      <c r="P7" s="43"/>
      <c r="Q7" s="43"/>
      <c r="R7" s="44"/>
      <c r="S7" s="45" t="s">
        <v>11</v>
      </c>
      <c r="T7" s="47"/>
      <c r="U7" s="48">
        <v>46121</v>
      </c>
      <c r="V7" s="49">
        <v>46128</v>
      </c>
      <c r="W7" s="49">
        <v>46135</v>
      </c>
      <c r="X7" s="49">
        <v>46142</v>
      </c>
      <c r="Y7" s="49"/>
      <c r="Z7" s="49"/>
      <c r="AA7" s="44"/>
      <c r="AB7" s="45" t="s">
        <v>11</v>
      </c>
      <c r="AC7" s="6"/>
      <c r="AD7" s="10" t="s">
        <v>17</v>
      </c>
    </row>
    <row r="8" spans="1:30" ht="16.8" thickTop="1" thickBot="1" x14ac:dyDescent="0.35">
      <c r="A8" s="63">
        <v>1</v>
      </c>
      <c r="B8" s="70" t="s">
        <v>28</v>
      </c>
      <c r="C8" s="82">
        <v>1</v>
      </c>
      <c r="D8" s="53">
        <v>1</v>
      </c>
      <c r="E8" s="53">
        <v>1</v>
      </c>
      <c r="F8" s="53">
        <v>0</v>
      </c>
      <c r="G8" s="53"/>
      <c r="H8" s="53"/>
      <c r="I8" s="14"/>
      <c r="J8" s="11">
        <f>SUM(C8:H8)</f>
        <v>3</v>
      </c>
      <c r="K8" s="6"/>
      <c r="L8" s="56">
        <v>1</v>
      </c>
      <c r="M8" s="35">
        <v>1</v>
      </c>
      <c r="N8" s="57">
        <v>0</v>
      </c>
      <c r="O8" s="57"/>
      <c r="P8" s="57"/>
      <c r="Q8" s="57"/>
      <c r="R8" s="17"/>
      <c r="S8" s="9">
        <f>SUM(L8:Q8)</f>
        <v>2</v>
      </c>
      <c r="T8" s="6"/>
      <c r="U8" s="218">
        <v>1</v>
      </c>
      <c r="V8" s="219">
        <v>1</v>
      </c>
      <c r="W8" s="219">
        <v>1</v>
      </c>
      <c r="X8" s="50"/>
      <c r="Y8" s="50"/>
      <c r="Z8" s="50"/>
      <c r="AA8" s="17"/>
      <c r="AB8" s="9">
        <f>SUM(U8:Z8)</f>
        <v>3</v>
      </c>
      <c r="AC8" s="6"/>
      <c r="AD8" s="84">
        <f>SUM(AB8,S8,J8)</f>
        <v>8</v>
      </c>
    </row>
    <row r="9" spans="1:30" ht="16.2" thickTop="1" x14ac:dyDescent="0.3">
      <c r="A9" s="64">
        <v>2</v>
      </c>
      <c r="B9" s="70" t="s">
        <v>29</v>
      </c>
      <c r="C9" s="83">
        <v>1</v>
      </c>
      <c r="D9" s="53">
        <v>1</v>
      </c>
      <c r="E9" s="54">
        <v>1</v>
      </c>
      <c r="F9" s="54">
        <v>1</v>
      </c>
      <c r="G9" s="54"/>
      <c r="H9" s="54"/>
      <c r="I9" s="15"/>
      <c r="J9" s="12">
        <f t="shared" ref="J9:J50" si="0">SUM(C9:H9)</f>
        <v>4</v>
      </c>
      <c r="K9" s="6"/>
      <c r="L9" s="58">
        <v>1</v>
      </c>
      <c r="M9" s="19">
        <v>1</v>
      </c>
      <c r="N9" s="59">
        <v>1</v>
      </c>
      <c r="O9" s="59"/>
      <c r="P9" s="59"/>
      <c r="Q9" s="59"/>
      <c r="R9" s="18"/>
      <c r="S9" s="7">
        <f t="shared" ref="S9:S50" si="1">SUM(L9:Q9)</f>
        <v>3</v>
      </c>
      <c r="T9" s="6"/>
      <c r="U9" s="218">
        <v>1</v>
      </c>
      <c r="V9" s="219">
        <v>1</v>
      </c>
      <c r="W9" s="219">
        <v>1</v>
      </c>
      <c r="X9" s="51"/>
      <c r="Y9" s="51"/>
      <c r="Z9" s="51"/>
      <c r="AA9" s="18"/>
      <c r="AB9" s="7">
        <f t="shared" ref="AB9:AB50" si="2">SUM(U9:Z9)</f>
        <v>3</v>
      </c>
      <c r="AC9" s="6"/>
      <c r="AD9" s="85">
        <f t="shared" ref="AD9:AD50" si="3">SUM(AB9,S9,J9)</f>
        <v>10</v>
      </c>
    </row>
    <row r="10" spans="1:30" ht="15.6" x14ac:dyDescent="0.3">
      <c r="A10" s="63">
        <v>3</v>
      </c>
      <c r="B10" s="70" t="s">
        <v>30</v>
      </c>
      <c r="C10" s="82">
        <v>1</v>
      </c>
      <c r="D10" s="53">
        <v>1</v>
      </c>
      <c r="E10" s="54">
        <v>1</v>
      </c>
      <c r="F10" s="54">
        <v>0</v>
      </c>
      <c r="G10" s="54"/>
      <c r="H10" s="54"/>
      <c r="I10" s="15"/>
      <c r="J10" s="12">
        <f t="shared" si="0"/>
        <v>3</v>
      </c>
      <c r="K10" s="6"/>
      <c r="L10" s="58">
        <v>1</v>
      </c>
      <c r="M10" s="19">
        <v>1</v>
      </c>
      <c r="N10" s="59">
        <v>1</v>
      </c>
      <c r="O10" s="59"/>
      <c r="P10" s="59"/>
      <c r="Q10" s="59"/>
      <c r="R10" s="18"/>
      <c r="S10" s="7">
        <f t="shared" si="1"/>
        <v>3</v>
      </c>
      <c r="T10" s="6"/>
      <c r="U10" s="218">
        <v>1</v>
      </c>
      <c r="V10" s="219">
        <v>1</v>
      </c>
      <c r="W10" s="219">
        <v>1</v>
      </c>
      <c r="X10" s="51"/>
      <c r="Y10" s="51"/>
      <c r="Z10" s="51"/>
      <c r="AA10" s="18"/>
      <c r="AB10" s="7">
        <f t="shared" si="2"/>
        <v>3</v>
      </c>
      <c r="AC10" s="6"/>
      <c r="AD10" s="7">
        <f t="shared" si="3"/>
        <v>9</v>
      </c>
    </row>
    <row r="11" spans="1:30" ht="15.6" x14ac:dyDescent="0.3">
      <c r="A11" s="64">
        <v>4</v>
      </c>
      <c r="B11" s="70" t="s">
        <v>31</v>
      </c>
      <c r="C11" s="83">
        <v>1</v>
      </c>
      <c r="D11" s="53">
        <v>1</v>
      </c>
      <c r="E11" s="54">
        <v>1</v>
      </c>
      <c r="F11" s="54">
        <v>1</v>
      </c>
      <c r="G11" s="54"/>
      <c r="H11" s="54"/>
      <c r="I11" s="15"/>
      <c r="J11" s="12">
        <f t="shared" si="0"/>
        <v>4</v>
      </c>
      <c r="K11" s="6"/>
      <c r="L11" s="58">
        <v>1</v>
      </c>
      <c r="M11" s="19">
        <v>1</v>
      </c>
      <c r="N11" s="59">
        <v>1</v>
      </c>
      <c r="O11" s="59"/>
      <c r="P11" s="59"/>
      <c r="Q11" s="59"/>
      <c r="R11" s="18"/>
      <c r="S11" s="7">
        <f t="shared" si="1"/>
        <v>3</v>
      </c>
      <c r="T11" s="6"/>
      <c r="U11" s="218">
        <v>1</v>
      </c>
      <c r="V11" s="219">
        <v>1</v>
      </c>
      <c r="W11" s="219">
        <v>1</v>
      </c>
      <c r="X11" s="51"/>
      <c r="Y11" s="51"/>
      <c r="Z11" s="51"/>
      <c r="AA11" s="18"/>
      <c r="AB11" s="7">
        <f t="shared" si="2"/>
        <v>3</v>
      </c>
      <c r="AC11" s="6"/>
      <c r="AD11" s="7">
        <f t="shared" si="3"/>
        <v>10</v>
      </c>
    </row>
    <row r="12" spans="1:30" ht="15.6" x14ac:dyDescent="0.3">
      <c r="A12" s="63">
        <v>5</v>
      </c>
      <c r="B12" s="70" t="s">
        <v>32</v>
      </c>
      <c r="C12" s="82">
        <v>1</v>
      </c>
      <c r="D12" s="53">
        <v>1</v>
      </c>
      <c r="E12" s="54">
        <v>0</v>
      </c>
      <c r="F12" s="54">
        <v>0</v>
      </c>
      <c r="G12" s="54"/>
      <c r="H12" s="54"/>
      <c r="I12" s="15"/>
      <c r="J12" s="12">
        <f t="shared" si="0"/>
        <v>2</v>
      </c>
      <c r="K12" s="6"/>
      <c r="L12" s="58">
        <v>0</v>
      </c>
      <c r="M12" s="19">
        <v>0</v>
      </c>
      <c r="N12" s="59">
        <v>1</v>
      </c>
      <c r="O12" s="59"/>
      <c r="P12" s="59"/>
      <c r="Q12" s="59"/>
      <c r="R12" s="18"/>
      <c r="S12" s="7">
        <f t="shared" si="1"/>
        <v>1</v>
      </c>
      <c r="T12" s="6"/>
      <c r="U12" s="220">
        <v>0</v>
      </c>
      <c r="V12" s="221">
        <v>0</v>
      </c>
      <c r="W12" s="221">
        <v>0</v>
      </c>
      <c r="X12" s="51"/>
      <c r="Y12" s="51"/>
      <c r="Z12" s="51"/>
      <c r="AA12" s="18"/>
      <c r="AB12" s="7">
        <f t="shared" si="2"/>
        <v>0</v>
      </c>
      <c r="AC12" s="6"/>
      <c r="AD12" s="7">
        <f t="shared" si="3"/>
        <v>3</v>
      </c>
    </row>
    <row r="13" spans="1:30" ht="15.6" x14ac:dyDescent="0.3">
      <c r="A13" s="64">
        <v>6</v>
      </c>
      <c r="B13" s="70" t="s">
        <v>33</v>
      </c>
      <c r="C13" s="83">
        <v>1</v>
      </c>
      <c r="D13" s="53">
        <v>1</v>
      </c>
      <c r="E13" s="54">
        <v>1</v>
      </c>
      <c r="F13" s="54">
        <v>1</v>
      </c>
      <c r="G13" s="54"/>
      <c r="H13" s="54"/>
      <c r="I13" s="15"/>
      <c r="J13" s="12">
        <f t="shared" si="0"/>
        <v>4</v>
      </c>
      <c r="K13" s="6"/>
      <c r="L13" s="58">
        <v>1</v>
      </c>
      <c r="M13" s="19">
        <v>1</v>
      </c>
      <c r="N13" s="59">
        <v>1</v>
      </c>
      <c r="O13" s="59"/>
      <c r="P13" s="59"/>
      <c r="Q13" s="59"/>
      <c r="R13" s="18"/>
      <c r="S13" s="7">
        <f t="shared" si="1"/>
        <v>3</v>
      </c>
      <c r="T13" s="6"/>
      <c r="U13" s="218">
        <v>1</v>
      </c>
      <c r="V13" s="219">
        <v>1</v>
      </c>
      <c r="W13" s="219">
        <v>1</v>
      </c>
      <c r="X13" s="51"/>
      <c r="Y13" s="51"/>
      <c r="Z13" s="51"/>
      <c r="AA13" s="18"/>
      <c r="AB13" s="7">
        <f t="shared" si="2"/>
        <v>3</v>
      </c>
      <c r="AC13" s="6"/>
      <c r="AD13" s="7">
        <f t="shared" si="3"/>
        <v>10</v>
      </c>
    </row>
    <row r="14" spans="1:30" ht="15.6" x14ac:dyDescent="0.3">
      <c r="A14" s="63">
        <v>7</v>
      </c>
      <c r="B14" s="70" t="s">
        <v>34</v>
      </c>
      <c r="C14" s="82">
        <v>1</v>
      </c>
      <c r="D14" s="53">
        <v>1</v>
      </c>
      <c r="E14" s="54">
        <v>0</v>
      </c>
      <c r="F14" s="54">
        <v>1</v>
      </c>
      <c r="G14" s="54"/>
      <c r="H14" s="54"/>
      <c r="I14" s="15"/>
      <c r="J14" s="12">
        <f t="shared" si="0"/>
        <v>3</v>
      </c>
      <c r="K14" s="6"/>
      <c r="L14" s="58">
        <v>1</v>
      </c>
      <c r="M14" s="19">
        <v>1</v>
      </c>
      <c r="N14" s="59">
        <v>1</v>
      </c>
      <c r="O14" s="59"/>
      <c r="P14" s="59"/>
      <c r="Q14" s="59"/>
      <c r="R14" s="18"/>
      <c r="S14" s="7">
        <f t="shared" si="1"/>
        <v>3</v>
      </c>
      <c r="T14" s="6"/>
      <c r="U14" s="220">
        <v>0</v>
      </c>
      <c r="V14" s="221">
        <v>0</v>
      </c>
      <c r="W14" s="221">
        <v>0</v>
      </c>
      <c r="X14" s="51"/>
      <c r="Y14" s="51"/>
      <c r="Z14" s="51"/>
      <c r="AA14" s="18"/>
      <c r="AB14" s="7">
        <f t="shared" si="2"/>
        <v>0</v>
      </c>
      <c r="AC14" s="6"/>
      <c r="AD14" s="7">
        <f t="shared" si="3"/>
        <v>6</v>
      </c>
    </row>
    <row r="15" spans="1:30" ht="15.6" x14ac:dyDescent="0.3">
      <c r="A15" s="64">
        <v>8</v>
      </c>
      <c r="B15" s="70" t="s">
        <v>35</v>
      </c>
      <c r="C15" s="83">
        <v>1</v>
      </c>
      <c r="D15" s="53">
        <v>1</v>
      </c>
      <c r="E15" s="54">
        <v>1</v>
      </c>
      <c r="F15" s="54">
        <v>1</v>
      </c>
      <c r="G15" s="54"/>
      <c r="H15" s="54"/>
      <c r="I15" s="15"/>
      <c r="J15" s="12">
        <f t="shared" si="0"/>
        <v>4</v>
      </c>
      <c r="K15" s="6"/>
      <c r="L15" s="58">
        <v>1</v>
      </c>
      <c r="M15" s="19">
        <v>1</v>
      </c>
      <c r="N15" s="59">
        <v>1</v>
      </c>
      <c r="O15" s="59"/>
      <c r="P15" s="59"/>
      <c r="Q15" s="59"/>
      <c r="R15" s="18"/>
      <c r="S15" s="7">
        <f t="shared" si="1"/>
        <v>3</v>
      </c>
      <c r="T15" s="6"/>
      <c r="U15" s="218">
        <v>1</v>
      </c>
      <c r="V15" s="219">
        <v>1</v>
      </c>
      <c r="W15" s="219">
        <v>1</v>
      </c>
      <c r="X15" s="51"/>
      <c r="Y15" s="51"/>
      <c r="Z15" s="51"/>
      <c r="AA15" s="18"/>
      <c r="AB15" s="7">
        <f t="shared" si="2"/>
        <v>3</v>
      </c>
      <c r="AC15" s="6"/>
      <c r="AD15" s="7">
        <f t="shared" si="3"/>
        <v>10</v>
      </c>
    </row>
    <row r="16" spans="1:30" ht="15.6" x14ac:dyDescent="0.3">
      <c r="A16" s="63">
        <v>9</v>
      </c>
      <c r="B16" s="70" t="s">
        <v>36</v>
      </c>
      <c r="C16" s="82">
        <v>1</v>
      </c>
      <c r="D16" s="53">
        <v>1</v>
      </c>
      <c r="E16" s="54">
        <v>1</v>
      </c>
      <c r="F16" s="54">
        <v>1</v>
      </c>
      <c r="G16" s="54"/>
      <c r="H16" s="54"/>
      <c r="I16" s="15"/>
      <c r="J16" s="12">
        <f t="shared" si="0"/>
        <v>4</v>
      </c>
      <c r="K16" s="6"/>
      <c r="L16" s="58">
        <v>1</v>
      </c>
      <c r="M16" s="19">
        <v>1</v>
      </c>
      <c r="N16" s="59">
        <v>1</v>
      </c>
      <c r="O16" s="59"/>
      <c r="P16" s="59"/>
      <c r="Q16" s="59"/>
      <c r="R16" s="18"/>
      <c r="S16" s="7">
        <f t="shared" si="1"/>
        <v>3</v>
      </c>
      <c r="T16" s="6"/>
      <c r="U16" s="218">
        <v>1</v>
      </c>
      <c r="V16" s="219">
        <v>1</v>
      </c>
      <c r="W16" s="219">
        <v>1</v>
      </c>
      <c r="X16" s="51"/>
      <c r="Y16" s="51"/>
      <c r="Z16" s="51"/>
      <c r="AA16" s="18"/>
      <c r="AB16" s="7">
        <f t="shared" si="2"/>
        <v>3</v>
      </c>
      <c r="AC16" s="6"/>
      <c r="AD16" s="7">
        <f t="shared" si="3"/>
        <v>10</v>
      </c>
    </row>
    <row r="17" spans="1:30" ht="15.6" x14ac:dyDescent="0.3">
      <c r="A17" s="64">
        <v>10</v>
      </c>
      <c r="B17" s="70" t="s">
        <v>37</v>
      </c>
      <c r="C17" s="83">
        <v>1</v>
      </c>
      <c r="D17" s="53">
        <v>1</v>
      </c>
      <c r="E17" s="54">
        <v>1</v>
      </c>
      <c r="F17" s="54">
        <v>1</v>
      </c>
      <c r="G17" s="54"/>
      <c r="H17" s="54"/>
      <c r="I17" s="15"/>
      <c r="J17" s="12">
        <f t="shared" si="0"/>
        <v>4</v>
      </c>
      <c r="K17" s="6"/>
      <c r="L17" s="58">
        <v>1</v>
      </c>
      <c r="M17" s="19">
        <v>1</v>
      </c>
      <c r="N17" s="59">
        <v>1</v>
      </c>
      <c r="O17" s="59"/>
      <c r="P17" s="59"/>
      <c r="Q17" s="59"/>
      <c r="R17" s="18"/>
      <c r="S17" s="7">
        <f t="shared" si="1"/>
        <v>3</v>
      </c>
      <c r="T17" s="6"/>
      <c r="U17" s="218">
        <v>1</v>
      </c>
      <c r="V17" s="219">
        <v>1</v>
      </c>
      <c r="W17" s="219">
        <v>1</v>
      </c>
      <c r="X17" s="51"/>
      <c r="Y17" s="51"/>
      <c r="Z17" s="51"/>
      <c r="AA17" s="18"/>
      <c r="AB17" s="7">
        <f t="shared" si="2"/>
        <v>3</v>
      </c>
      <c r="AC17" s="6"/>
      <c r="AD17" s="7">
        <f t="shared" si="3"/>
        <v>10</v>
      </c>
    </row>
    <row r="18" spans="1:30" ht="15.6" x14ac:dyDescent="0.3">
      <c r="A18" s="63">
        <v>11</v>
      </c>
      <c r="B18" s="70" t="s">
        <v>38</v>
      </c>
      <c r="C18" s="82">
        <v>1</v>
      </c>
      <c r="D18" s="53">
        <v>1</v>
      </c>
      <c r="E18" s="54">
        <v>0</v>
      </c>
      <c r="F18" s="54">
        <v>1</v>
      </c>
      <c r="G18" s="54"/>
      <c r="H18" s="54"/>
      <c r="I18" s="15"/>
      <c r="J18" s="12">
        <f t="shared" si="0"/>
        <v>3</v>
      </c>
      <c r="K18" s="6"/>
      <c r="L18" s="58">
        <v>0</v>
      </c>
      <c r="M18" s="19">
        <v>1</v>
      </c>
      <c r="N18" s="59">
        <v>0</v>
      </c>
      <c r="O18" s="59"/>
      <c r="P18" s="59"/>
      <c r="Q18" s="59"/>
      <c r="R18" s="18"/>
      <c r="S18" s="7">
        <f t="shared" si="1"/>
        <v>1</v>
      </c>
      <c r="T18" s="6"/>
      <c r="U18" s="220">
        <v>0</v>
      </c>
      <c r="V18" s="221">
        <v>0</v>
      </c>
      <c r="W18" s="221">
        <v>0</v>
      </c>
      <c r="X18" s="51"/>
      <c r="Y18" s="51"/>
      <c r="Z18" s="51"/>
      <c r="AA18" s="18"/>
      <c r="AB18" s="7">
        <f t="shared" si="2"/>
        <v>0</v>
      </c>
      <c r="AC18" s="6"/>
      <c r="AD18" s="7">
        <f t="shared" si="3"/>
        <v>4</v>
      </c>
    </row>
    <row r="19" spans="1:30" ht="15.6" x14ac:dyDescent="0.3">
      <c r="A19" s="64">
        <v>12</v>
      </c>
      <c r="B19" s="70" t="s">
        <v>39</v>
      </c>
      <c r="C19" s="83">
        <v>1</v>
      </c>
      <c r="D19" s="53">
        <v>1</v>
      </c>
      <c r="E19" s="54">
        <v>0</v>
      </c>
      <c r="F19" s="54">
        <v>1</v>
      </c>
      <c r="G19" s="54"/>
      <c r="H19" s="54"/>
      <c r="I19" s="15"/>
      <c r="J19" s="12">
        <f t="shared" si="0"/>
        <v>3</v>
      </c>
      <c r="K19" s="6"/>
      <c r="L19" s="58">
        <v>0</v>
      </c>
      <c r="M19" s="19">
        <v>1</v>
      </c>
      <c r="N19" s="59">
        <v>0</v>
      </c>
      <c r="O19" s="59"/>
      <c r="P19" s="59"/>
      <c r="Q19" s="59"/>
      <c r="R19" s="18"/>
      <c r="S19" s="7">
        <f t="shared" si="1"/>
        <v>1</v>
      </c>
      <c r="T19" s="6"/>
      <c r="U19" s="220">
        <v>0</v>
      </c>
      <c r="V19" s="221">
        <v>0</v>
      </c>
      <c r="W19" s="221">
        <v>0</v>
      </c>
      <c r="X19" s="51"/>
      <c r="Y19" s="51"/>
      <c r="Z19" s="51"/>
      <c r="AA19" s="18"/>
      <c r="AB19" s="7">
        <f t="shared" si="2"/>
        <v>0</v>
      </c>
      <c r="AC19" s="6"/>
      <c r="AD19" s="7">
        <f t="shared" si="3"/>
        <v>4</v>
      </c>
    </row>
    <row r="20" spans="1:30" ht="15.6" x14ac:dyDescent="0.3">
      <c r="A20" s="63">
        <v>13</v>
      </c>
      <c r="B20" s="70" t="s">
        <v>40</v>
      </c>
      <c r="C20" s="82">
        <v>1</v>
      </c>
      <c r="D20" s="53">
        <v>1</v>
      </c>
      <c r="E20" s="54">
        <v>1</v>
      </c>
      <c r="F20" s="54">
        <v>1</v>
      </c>
      <c r="G20" s="54"/>
      <c r="H20" s="54"/>
      <c r="I20" s="15"/>
      <c r="J20" s="12">
        <f t="shared" si="0"/>
        <v>4</v>
      </c>
      <c r="K20" s="6"/>
      <c r="L20" s="58">
        <v>1</v>
      </c>
      <c r="M20" s="19">
        <v>1</v>
      </c>
      <c r="N20" s="59">
        <v>1</v>
      </c>
      <c r="O20" s="59"/>
      <c r="P20" s="59"/>
      <c r="Q20" s="59"/>
      <c r="R20" s="18"/>
      <c r="S20" s="7">
        <f t="shared" si="1"/>
        <v>3</v>
      </c>
      <c r="T20" s="6"/>
      <c r="U20" s="218">
        <v>1</v>
      </c>
      <c r="V20" s="219">
        <v>1</v>
      </c>
      <c r="W20" s="219">
        <v>1</v>
      </c>
      <c r="X20" s="51"/>
      <c r="Y20" s="51"/>
      <c r="Z20" s="51"/>
      <c r="AA20" s="18"/>
      <c r="AB20" s="7">
        <f t="shared" si="2"/>
        <v>3</v>
      </c>
      <c r="AC20" s="6"/>
      <c r="AD20" s="7">
        <f t="shared" si="3"/>
        <v>10</v>
      </c>
    </row>
    <row r="21" spans="1:30" ht="15.6" x14ac:dyDescent="0.3">
      <c r="A21" s="64">
        <v>14</v>
      </c>
      <c r="B21" s="70" t="s">
        <v>41</v>
      </c>
      <c r="C21" s="83">
        <v>1</v>
      </c>
      <c r="D21" s="53">
        <v>1</v>
      </c>
      <c r="E21" s="54">
        <v>0</v>
      </c>
      <c r="F21" s="54">
        <v>1</v>
      </c>
      <c r="G21" s="54"/>
      <c r="H21" s="54"/>
      <c r="I21" s="15"/>
      <c r="J21" s="12">
        <f t="shared" si="0"/>
        <v>3</v>
      </c>
      <c r="K21" s="6"/>
      <c r="L21" s="58">
        <v>0</v>
      </c>
      <c r="M21" s="19">
        <v>1</v>
      </c>
      <c r="N21" s="59">
        <v>0</v>
      </c>
      <c r="O21" s="59"/>
      <c r="P21" s="59"/>
      <c r="Q21" s="59"/>
      <c r="R21" s="18"/>
      <c r="S21" s="7">
        <f t="shared" si="1"/>
        <v>1</v>
      </c>
      <c r="T21" s="6"/>
      <c r="U21" s="218">
        <v>1</v>
      </c>
      <c r="V21" s="219">
        <v>1</v>
      </c>
      <c r="W21" s="219">
        <v>1</v>
      </c>
      <c r="X21" s="51"/>
      <c r="Y21" s="51"/>
      <c r="Z21" s="51"/>
      <c r="AA21" s="18"/>
      <c r="AB21" s="7">
        <f t="shared" si="2"/>
        <v>3</v>
      </c>
      <c r="AC21" s="6"/>
      <c r="AD21" s="7">
        <f t="shared" si="3"/>
        <v>7</v>
      </c>
    </row>
    <row r="22" spans="1:30" ht="15.6" x14ac:dyDescent="0.3">
      <c r="A22" s="63">
        <v>15</v>
      </c>
      <c r="B22" s="70" t="s">
        <v>42</v>
      </c>
      <c r="C22" s="82">
        <v>1</v>
      </c>
      <c r="D22" s="53">
        <v>1</v>
      </c>
      <c r="E22" s="54">
        <v>1</v>
      </c>
      <c r="F22" s="54">
        <v>1</v>
      </c>
      <c r="G22" s="54"/>
      <c r="H22" s="54"/>
      <c r="I22" s="15"/>
      <c r="J22" s="12">
        <f t="shared" si="0"/>
        <v>4</v>
      </c>
      <c r="K22" s="6"/>
      <c r="L22" s="58">
        <v>1</v>
      </c>
      <c r="M22" s="19">
        <v>1</v>
      </c>
      <c r="N22" s="59">
        <v>1</v>
      </c>
      <c r="O22" s="59"/>
      <c r="P22" s="59"/>
      <c r="Q22" s="59"/>
      <c r="R22" s="18"/>
      <c r="S22" s="7">
        <f t="shared" si="1"/>
        <v>3</v>
      </c>
      <c r="T22" s="6"/>
      <c r="U22" s="218">
        <v>1</v>
      </c>
      <c r="V22" s="219">
        <v>1</v>
      </c>
      <c r="W22" s="219">
        <v>1</v>
      </c>
      <c r="X22" s="51"/>
      <c r="Y22" s="51"/>
      <c r="Z22" s="51"/>
      <c r="AA22" s="18"/>
      <c r="AB22" s="7">
        <f t="shared" si="2"/>
        <v>3</v>
      </c>
      <c r="AC22" s="6"/>
      <c r="AD22" s="7">
        <f t="shared" si="3"/>
        <v>10</v>
      </c>
    </row>
    <row r="23" spans="1:30" ht="15.6" x14ac:dyDescent="0.3">
      <c r="A23" s="64">
        <v>16</v>
      </c>
      <c r="B23" s="70" t="s">
        <v>43</v>
      </c>
      <c r="C23" s="83">
        <v>1</v>
      </c>
      <c r="D23" s="53">
        <v>1</v>
      </c>
      <c r="E23" s="54">
        <v>0</v>
      </c>
      <c r="F23" s="54">
        <v>1</v>
      </c>
      <c r="G23" s="54"/>
      <c r="H23" s="54"/>
      <c r="I23" s="15"/>
      <c r="J23" s="12">
        <f t="shared" si="0"/>
        <v>3</v>
      </c>
      <c r="K23" s="6"/>
      <c r="L23" s="58">
        <v>0</v>
      </c>
      <c r="M23" s="19">
        <v>3</v>
      </c>
      <c r="N23" s="59">
        <v>0</v>
      </c>
      <c r="O23" s="59"/>
      <c r="P23" s="59"/>
      <c r="Q23" s="59"/>
      <c r="R23" s="18"/>
      <c r="S23" s="7">
        <f t="shared" si="1"/>
        <v>3</v>
      </c>
      <c r="T23" s="6"/>
      <c r="U23" s="220">
        <v>0</v>
      </c>
      <c r="V23" s="221">
        <v>0</v>
      </c>
      <c r="W23" s="221">
        <v>0</v>
      </c>
      <c r="X23" s="51"/>
      <c r="Y23" s="51"/>
      <c r="Z23" s="51"/>
      <c r="AA23" s="18"/>
      <c r="AB23" s="7">
        <f t="shared" si="2"/>
        <v>0</v>
      </c>
      <c r="AC23" s="6"/>
      <c r="AD23" s="7">
        <f t="shared" si="3"/>
        <v>6</v>
      </c>
    </row>
    <row r="24" spans="1:30" ht="15.6" x14ac:dyDescent="0.3">
      <c r="A24" s="63">
        <v>17</v>
      </c>
      <c r="B24" s="70" t="s">
        <v>44</v>
      </c>
      <c r="C24" s="82">
        <v>1</v>
      </c>
      <c r="D24" s="53">
        <v>1</v>
      </c>
      <c r="E24" s="54">
        <v>0</v>
      </c>
      <c r="F24" s="54">
        <v>1</v>
      </c>
      <c r="G24" s="54"/>
      <c r="H24" s="54"/>
      <c r="I24" s="15"/>
      <c r="J24" s="12">
        <f t="shared" si="0"/>
        <v>3</v>
      </c>
      <c r="K24" s="6"/>
      <c r="L24" s="58">
        <v>1</v>
      </c>
      <c r="M24" s="19">
        <v>1</v>
      </c>
      <c r="N24" s="59">
        <v>1</v>
      </c>
      <c r="O24" s="59"/>
      <c r="P24" s="59"/>
      <c r="Q24" s="59"/>
      <c r="R24" s="18"/>
      <c r="S24" s="7">
        <f t="shared" si="1"/>
        <v>3</v>
      </c>
      <c r="T24" s="6"/>
      <c r="U24" s="218">
        <v>1</v>
      </c>
      <c r="V24" s="219">
        <v>1</v>
      </c>
      <c r="W24" s="219">
        <v>1</v>
      </c>
      <c r="X24" s="51"/>
      <c r="Y24" s="51"/>
      <c r="Z24" s="51"/>
      <c r="AA24" s="18"/>
      <c r="AB24" s="7">
        <f t="shared" si="2"/>
        <v>3</v>
      </c>
      <c r="AC24" s="6"/>
      <c r="AD24" s="7">
        <f t="shared" si="3"/>
        <v>9</v>
      </c>
    </row>
    <row r="25" spans="1:30" ht="15.6" x14ac:dyDescent="0.3">
      <c r="A25" s="64">
        <v>18</v>
      </c>
      <c r="B25" s="70" t="s">
        <v>45</v>
      </c>
      <c r="C25" s="83">
        <v>1</v>
      </c>
      <c r="D25" s="53">
        <v>1</v>
      </c>
      <c r="E25" s="54">
        <v>1</v>
      </c>
      <c r="F25" s="54">
        <v>1</v>
      </c>
      <c r="G25" s="54"/>
      <c r="H25" s="54"/>
      <c r="I25" s="15"/>
      <c r="J25" s="12">
        <f t="shared" si="0"/>
        <v>4</v>
      </c>
      <c r="K25" s="6"/>
      <c r="L25" s="58">
        <v>0</v>
      </c>
      <c r="M25" s="19">
        <v>1</v>
      </c>
      <c r="N25" s="59">
        <v>1</v>
      </c>
      <c r="O25" s="59"/>
      <c r="P25" s="59"/>
      <c r="Q25" s="59"/>
      <c r="R25" s="18"/>
      <c r="S25" s="7">
        <f t="shared" si="1"/>
        <v>2</v>
      </c>
      <c r="T25" s="6"/>
      <c r="U25" s="218">
        <v>1</v>
      </c>
      <c r="V25" s="219">
        <v>1</v>
      </c>
      <c r="W25" s="219">
        <v>1</v>
      </c>
      <c r="X25" s="51"/>
      <c r="Y25" s="51"/>
      <c r="Z25" s="51"/>
      <c r="AA25" s="18"/>
      <c r="AB25" s="7">
        <f t="shared" si="2"/>
        <v>3</v>
      </c>
      <c r="AC25" s="6"/>
      <c r="AD25" s="7">
        <f t="shared" si="3"/>
        <v>9</v>
      </c>
    </row>
    <row r="26" spans="1:30" ht="15.6" x14ac:dyDescent="0.3">
      <c r="A26" s="63">
        <v>19</v>
      </c>
      <c r="B26" s="70" t="s">
        <v>46</v>
      </c>
      <c r="C26" s="82">
        <v>1</v>
      </c>
      <c r="D26" s="53">
        <v>1</v>
      </c>
      <c r="E26" s="54">
        <v>1</v>
      </c>
      <c r="F26" s="54">
        <v>1</v>
      </c>
      <c r="G26" s="54"/>
      <c r="H26" s="54"/>
      <c r="I26" s="15"/>
      <c r="J26" s="12">
        <f t="shared" si="0"/>
        <v>4</v>
      </c>
      <c r="K26" s="6"/>
      <c r="L26" s="58">
        <v>1</v>
      </c>
      <c r="M26" s="19">
        <v>1</v>
      </c>
      <c r="N26" s="59">
        <v>1</v>
      </c>
      <c r="O26" s="59"/>
      <c r="P26" s="59"/>
      <c r="Q26" s="59"/>
      <c r="R26" s="18"/>
      <c r="S26" s="7">
        <f t="shared" si="1"/>
        <v>3</v>
      </c>
      <c r="T26" s="6"/>
      <c r="U26" s="218">
        <v>1</v>
      </c>
      <c r="V26" s="219">
        <v>1</v>
      </c>
      <c r="W26" s="219">
        <v>1</v>
      </c>
      <c r="X26" s="51"/>
      <c r="Y26" s="51"/>
      <c r="Z26" s="51"/>
      <c r="AA26" s="18"/>
      <c r="AB26" s="7">
        <f t="shared" si="2"/>
        <v>3</v>
      </c>
      <c r="AC26" s="6"/>
      <c r="AD26" s="7">
        <f t="shared" si="3"/>
        <v>10</v>
      </c>
    </row>
    <row r="27" spans="1:30" ht="15.6" x14ac:dyDescent="0.3">
      <c r="A27" s="64">
        <v>20</v>
      </c>
      <c r="B27" s="70" t="s">
        <v>47</v>
      </c>
      <c r="C27" s="83">
        <v>1</v>
      </c>
      <c r="D27" s="53">
        <v>1</v>
      </c>
      <c r="E27" s="54">
        <v>1</v>
      </c>
      <c r="F27" s="54">
        <v>1</v>
      </c>
      <c r="G27" s="54"/>
      <c r="H27" s="54"/>
      <c r="I27" s="15"/>
      <c r="J27" s="12">
        <f t="shared" si="0"/>
        <v>4</v>
      </c>
      <c r="K27" s="6"/>
      <c r="L27" s="58">
        <v>1</v>
      </c>
      <c r="M27" s="19">
        <v>1</v>
      </c>
      <c r="N27" s="59">
        <v>1</v>
      </c>
      <c r="O27" s="59"/>
      <c r="P27" s="59"/>
      <c r="Q27" s="59"/>
      <c r="R27" s="18"/>
      <c r="S27" s="7">
        <f t="shared" si="1"/>
        <v>3</v>
      </c>
      <c r="T27" s="6"/>
      <c r="U27" s="218">
        <v>1</v>
      </c>
      <c r="V27" s="219">
        <v>1</v>
      </c>
      <c r="W27" s="219">
        <v>1</v>
      </c>
      <c r="X27" s="51"/>
      <c r="Y27" s="51"/>
      <c r="Z27" s="51"/>
      <c r="AA27" s="18"/>
      <c r="AB27" s="7">
        <f t="shared" si="2"/>
        <v>3</v>
      </c>
      <c r="AC27" s="6"/>
      <c r="AD27" s="7">
        <f t="shared" si="3"/>
        <v>10</v>
      </c>
    </row>
    <row r="28" spans="1:30" ht="15.6" x14ac:dyDescent="0.3">
      <c r="A28" s="63">
        <v>21</v>
      </c>
      <c r="B28" s="70" t="s">
        <v>48</v>
      </c>
      <c r="C28" s="82">
        <v>1</v>
      </c>
      <c r="D28" s="53">
        <v>1</v>
      </c>
      <c r="E28" s="54">
        <v>0</v>
      </c>
      <c r="F28" s="54">
        <v>1</v>
      </c>
      <c r="G28" s="54"/>
      <c r="H28" s="54"/>
      <c r="I28" s="15"/>
      <c r="J28" s="12">
        <f t="shared" si="0"/>
        <v>3</v>
      </c>
      <c r="K28" s="6"/>
      <c r="L28" s="58">
        <v>1</v>
      </c>
      <c r="M28" s="19">
        <v>1</v>
      </c>
      <c r="N28" s="59">
        <v>1</v>
      </c>
      <c r="O28" s="59"/>
      <c r="P28" s="59"/>
      <c r="Q28" s="59"/>
      <c r="R28" s="18"/>
      <c r="S28" s="7">
        <f t="shared" si="1"/>
        <v>3</v>
      </c>
      <c r="T28" s="6"/>
      <c r="U28" s="218">
        <v>1</v>
      </c>
      <c r="V28" s="219">
        <v>1</v>
      </c>
      <c r="W28" s="219">
        <v>1</v>
      </c>
      <c r="X28" s="51"/>
      <c r="Y28" s="51"/>
      <c r="Z28" s="51"/>
      <c r="AA28" s="18"/>
      <c r="AB28" s="7">
        <f t="shared" si="2"/>
        <v>3</v>
      </c>
      <c r="AC28" s="6"/>
      <c r="AD28" s="7">
        <f t="shared" si="3"/>
        <v>9</v>
      </c>
    </row>
    <row r="29" spans="1:30" ht="15.6" x14ac:dyDescent="0.3">
      <c r="A29" s="64">
        <v>22</v>
      </c>
      <c r="B29" s="70" t="s">
        <v>49</v>
      </c>
      <c r="C29" s="83">
        <v>1</v>
      </c>
      <c r="D29" s="53">
        <v>1</v>
      </c>
      <c r="E29" s="54">
        <v>1</v>
      </c>
      <c r="F29" s="54">
        <v>1</v>
      </c>
      <c r="G29" s="54"/>
      <c r="H29" s="54"/>
      <c r="I29" s="15"/>
      <c r="J29" s="12">
        <f t="shared" si="0"/>
        <v>4</v>
      </c>
      <c r="K29" s="6"/>
      <c r="L29" s="58">
        <v>1</v>
      </c>
      <c r="M29" s="19">
        <v>1</v>
      </c>
      <c r="N29" s="59">
        <v>1</v>
      </c>
      <c r="O29" s="59"/>
      <c r="P29" s="59"/>
      <c r="Q29" s="59"/>
      <c r="R29" s="18"/>
      <c r="S29" s="7">
        <f t="shared" si="1"/>
        <v>3</v>
      </c>
      <c r="T29" s="6"/>
      <c r="U29" s="218">
        <v>1</v>
      </c>
      <c r="V29" s="219">
        <v>1</v>
      </c>
      <c r="W29" s="219">
        <v>1</v>
      </c>
      <c r="X29" s="51"/>
      <c r="Y29" s="51"/>
      <c r="Z29" s="51"/>
      <c r="AA29" s="18"/>
      <c r="AB29" s="7">
        <f t="shared" si="2"/>
        <v>3</v>
      </c>
      <c r="AC29" s="6"/>
      <c r="AD29" s="7">
        <f t="shared" si="3"/>
        <v>10</v>
      </c>
    </row>
    <row r="30" spans="1:30" ht="15.6" x14ac:dyDescent="0.3">
      <c r="A30" s="63">
        <v>23</v>
      </c>
      <c r="B30" s="70" t="s">
        <v>50</v>
      </c>
      <c r="C30" s="82">
        <v>1</v>
      </c>
      <c r="D30" s="53">
        <v>1</v>
      </c>
      <c r="E30" s="54">
        <v>1</v>
      </c>
      <c r="F30" s="54">
        <v>1</v>
      </c>
      <c r="G30" s="54"/>
      <c r="H30" s="54"/>
      <c r="I30" s="15"/>
      <c r="J30" s="12">
        <f t="shared" si="0"/>
        <v>4</v>
      </c>
      <c r="K30" s="6"/>
      <c r="L30" s="58">
        <v>1</v>
      </c>
      <c r="M30" s="19">
        <v>1</v>
      </c>
      <c r="N30" s="59">
        <v>1</v>
      </c>
      <c r="O30" s="59"/>
      <c r="P30" s="59"/>
      <c r="Q30" s="59"/>
      <c r="R30" s="18"/>
      <c r="S30" s="7">
        <f t="shared" si="1"/>
        <v>3</v>
      </c>
      <c r="T30" s="6"/>
      <c r="U30" s="218">
        <v>1</v>
      </c>
      <c r="V30" s="219">
        <v>1</v>
      </c>
      <c r="W30" s="219">
        <v>1</v>
      </c>
      <c r="X30" s="51"/>
      <c r="Y30" s="51"/>
      <c r="Z30" s="51"/>
      <c r="AA30" s="18"/>
      <c r="AB30" s="7">
        <f t="shared" si="2"/>
        <v>3</v>
      </c>
      <c r="AC30" s="6"/>
      <c r="AD30" s="7">
        <f t="shared" si="3"/>
        <v>10</v>
      </c>
    </row>
    <row r="31" spans="1:30" ht="15.6" x14ac:dyDescent="0.3">
      <c r="A31" s="64">
        <v>24</v>
      </c>
      <c r="B31" s="70" t="s">
        <v>51</v>
      </c>
      <c r="C31" s="83">
        <v>1</v>
      </c>
      <c r="D31" s="53">
        <v>1</v>
      </c>
      <c r="E31" s="54">
        <v>0</v>
      </c>
      <c r="F31" s="54">
        <v>1</v>
      </c>
      <c r="G31" s="54"/>
      <c r="H31" s="54"/>
      <c r="I31" s="15"/>
      <c r="J31" s="12">
        <f t="shared" si="0"/>
        <v>3</v>
      </c>
      <c r="K31" s="6"/>
      <c r="L31" s="58">
        <v>1</v>
      </c>
      <c r="M31" s="19">
        <v>1</v>
      </c>
      <c r="N31" s="59">
        <v>1</v>
      </c>
      <c r="O31" s="59"/>
      <c r="P31" s="59"/>
      <c r="Q31" s="59"/>
      <c r="R31" s="18"/>
      <c r="S31" s="7">
        <f t="shared" si="1"/>
        <v>3</v>
      </c>
      <c r="T31" s="6"/>
      <c r="U31" s="218">
        <v>1</v>
      </c>
      <c r="V31" s="219">
        <v>1</v>
      </c>
      <c r="W31" s="219">
        <v>1</v>
      </c>
      <c r="X31" s="51"/>
      <c r="Y31" s="51"/>
      <c r="Z31" s="51"/>
      <c r="AA31" s="18"/>
      <c r="AB31" s="7">
        <f t="shared" si="2"/>
        <v>3</v>
      </c>
      <c r="AC31" s="6"/>
      <c r="AD31" s="7">
        <f t="shared" si="3"/>
        <v>9</v>
      </c>
    </row>
    <row r="32" spans="1:30" ht="15.6" x14ac:dyDescent="0.3">
      <c r="A32" s="63">
        <v>25</v>
      </c>
      <c r="B32" s="70" t="s">
        <v>52</v>
      </c>
      <c r="C32" s="82">
        <v>1</v>
      </c>
      <c r="D32" s="53">
        <v>1</v>
      </c>
      <c r="E32" s="54">
        <v>0</v>
      </c>
      <c r="F32" s="54">
        <v>1</v>
      </c>
      <c r="G32" s="54"/>
      <c r="H32" s="54"/>
      <c r="I32" s="15"/>
      <c r="J32" s="12">
        <f t="shared" si="0"/>
        <v>3</v>
      </c>
      <c r="K32" s="6"/>
      <c r="L32" s="58">
        <v>1</v>
      </c>
      <c r="M32" s="19">
        <v>1</v>
      </c>
      <c r="N32" s="59">
        <v>1</v>
      </c>
      <c r="O32" s="59"/>
      <c r="P32" s="59"/>
      <c r="Q32" s="59"/>
      <c r="R32" s="18"/>
      <c r="S32" s="7">
        <f t="shared" si="1"/>
        <v>3</v>
      </c>
      <c r="T32" s="6"/>
      <c r="U32" s="218">
        <v>1</v>
      </c>
      <c r="V32" s="219">
        <v>1</v>
      </c>
      <c r="W32" s="219">
        <v>1</v>
      </c>
      <c r="X32" s="51"/>
      <c r="Y32" s="51"/>
      <c r="Z32" s="51"/>
      <c r="AA32" s="18"/>
      <c r="AB32" s="7">
        <f t="shared" si="2"/>
        <v>3</v>
      </c>
      <c r="AC32" s="6"/>
      <c r="AD32" s="7">
        <f t="shared" si="3"/>
        <v>9</v>
      </c>
    </row>
    <row r="33" spans="1:30" ht="15.6" x14ac:dyDescent="0.3">
      <c r="A33" s="64">
        <v>26</v>
      </c>
      <c r="B33" s="70" t="s">
        <v>53</v>
      </c>
      <c r="C33" s="83">
        <v>1</v>
      </c>
      <c r="D33" s="53">
        <v>1</v>
      </c>
      <c r="E33" s="54">
        <v>1</v>
      </c>
      <c r="F33" s="54">
        <v>1</v>
      </c>
      <c r="G33" s="54"/>
      <c r="H33" s="54"/>
      <c r="I33" s="15"/>
      <c r="J33" s="12">
        <f t="shared" si="0"/>
        <v>4</v>
      </c>
      <c r="K33" s="6"/>
      <c r="L33" s="58">
        <v>0</v>
      </c>
      <c r="M33" s="19">
        <v>1</v>
      </c>
      <c r="N33" s="59">
        <v>0</v>
      </c>
      <c r="O33" s="59"/>
      <c r="P33" s="59"/>
      <c r="Q33" s="59"/>
      <c r="R33" s="18"/>
      <c r="S33" s="7">
        <f t="shared" si="1"/>
        <v>1</v>
      </c>
      <c r="T33" s="6"/>
      <c r="U33" s="220">
        <v>0</v>
      </c>
      <c r="V33" s="221">
        <v>0</v>
      </c>
      <c r="W33" s="221">
        <v>0</v>
      </c>
      <c r="X33" s="51"/>
      <c r="Y33" s="51"/>
      <c r="Z33" s="51"/>
      <c r="AA33" s="18"/>
      <c r="AB33" s="7">
        <f t="shared" si="2"/>
        <v>0</v>
      </c>
      <c r="AC33" s="6"/>
      <c r="AD33" s="7">
        <f t="shared" si="3"/>
        <v>5</v>
      </c>
    </row>
    <row r="34" spans="1:30" ht="15.6" x14ac:dyDescent="0.3">
      <c r="A34" s="63">
        <v>27</v>
      </c>
      <c r="B34" s="70" t="s">
        <v>54</v>
      </c>
      <c r="C34" s="82">
        <v>1</v>
      </c>
      <c r="D34" s="53">
        <v>1</v>
      </c>
      <c r="E34" s="54">
        <v>0</v>
      </c>
      <c r="F34" s="54">
        <v>1</v>
      </c>
      <c r="G34" s="54"/>
      <c r="H34" s="54"/>
      <c r="I34" s="15"/>
      <c r="J34" s="12">
        <f t="shared" si="0"/>
        <v>3</v>
      </c>
      <c r="K34" s="6"/>
      <c r="L34" s="58">
        <v>0</v>
      </c>
      <c r="M34" s="19">
        <v>1</v>
      </c>
      <c r="N34" s="59">
        <v>0</v>
      </c>
      <c r="O34" s="59"/>
      <c r="P34" s="59"/>
      <c r="Q34" s="59"/>
      <c r="R34" s="18"/>
      <c r="S34" s="7">
        <f t="shared" si="1"/>
        <v>1</v>
      </c>
      <c r="T34" s="6"/>
      <c r="U34" s="218">
        <v>1</v>
      </c>
      <c r="V34" s="219">
        <v>1</v>
      </c>
      <c r="W34" s="219">
        <v>1</v>
      </c>
      <c r="X34" s="51"/>
      <c r="Y34" s="51"/>
      <c r="Z34" s="51"/>
      <c r="AA34" s="18"/>
      <c r="AB34" s="7">
        <f t="shared" si="2"/>
        <v>3</v>
      </c>
      <c r="AC34" s="6"/>
      <c r="AD34" s="7">
        <f t="shared" si="3"/>
        <v>7</v>
      </c>
    </row>
    <row r="35" spans="1:30" ht="15.6" x14ac:dyDescent="0.3">
      <c r="A35" s="64">
        <v>28</v>
      </c>
      <c r="B35" s="70" t="s">
        <v>55</v>
      </c>
      <c r="C35" s="83">
        <v>1</v>
      </c>
      <c r="D35" s="53">
        <v>1</v>
      </c>
      <c r="E35" s="54">
        <v>1</v>
      </c>
      <c r="F35" s="54">
        <v>1</v>
      </c>
      <c r="G35" s="54"/>
      <c r="H35" s="54"/>
      <c r="I35" s="15"/>
      <c r="J35" s="12">
        <f t="shared" si="0"/>
        <v>4</v>
      </c>
      <c r="K35" s="6"/>
      <c r="L35" s="58">
        <v>1</v>
      </c>
      <c r="M35" s="19">
        <v>1</v>
      </c>
      <c r="N35" s="59">
        <v>0</v>
      </c>
      <c r="O35" s="59"/>
      <c r="P35" s="59"/>
      <c r="Q35" s="59"/>
      <c r="R35" s="18"/>
      <c r="S35" s="7">
        <f t="shared" si="1"/>
        <v>2</v>
      </c>
      <c r="T35" s="6"/>
      <c r="U35" s="218">
        <v>1</v>
      </c>
      <c r="V35" s="219">
        <v>1</v>
      </c>
      <c r="W35" s="219">
        <v>1</v>
      </c>
      <c r="X35" s="51"/>
      <c r="Y35" s="51"/>
      <c r="Z35" s="51"/>
      <c r="AA35" s="18"/>
      <c r="AB35" s="7">
        <f t="shared" si="2"/>
        <v>3</v>
      </c>
      <c r="AC35" s="6"/>
      <c r="AD35" s="7">
        <f t="shared" si="3"/>
        <v>9</v>
      </c>
    </row>
    <row r="36" spans="1:30" ht="15.6" x14ac:dyDescent="0.3">
      <c r="A36" s="63">
        <v>29</v>
      </c>
      <c r="B36" s="70" t="s">
        <v>73</v>
      </c>
      <c r="C36" s="83">
        <v>1</v>
      </c>
      <c r="D36" s="53">
        <v>1</v>
      </c>
      <c r="E36" s="54">
        <v>0</v>
      </c>
      <c r="F36" s="54">
        <v>1</v>
      </c>
      <c r="G36" s="54"/>
      <c r="H36" s="54"/>
      <c r="I36" s="15"/>
      <c r="J36" s="12">
        <f t="shared" si="0"/>
        <v>3</v>
      </c>
      <c r="K36" s="6"/>
      <c r="L36" s="58">
        <v>0</v>
      </c>
      <c r="M36" s="19">
        <v>1</v>
      </c>
      <c r="N36" s="59">
        <v>0</v>
      </c>
      <c r="O36" s="59"/>
      <c r="P36" s="59"/>
      <c r="Q36" s="59"/>
      <c r="R36" s="18"/>
      <c r="S36" s="7">
        <f t="shared" si="1"/>
        <v>1</v>
      </c>
      <c r="T36" s="6"/>
      <c r="U36" s="218">
        <v>1</v>
      </c>
      <c r="V36" s="219">
        <v>1</v>
      </c>
      <c r="W36" s="219">
        <v>1</v>
      </c>
      <c r="X36" s="51"/>
      <c r="Y36" s="51"/>
      <c r="Z36" s="51"/>
      <c r="AA36" s="18"/>
      <c r="AB36" s="7">
        <f t="shared" si="2"/>
        <v>3</v>
      </c>
      <c r="AC36" s="6"/>
      <c r="AD36" s="7">
        <f t="shared" si="3"/>
        <v>7</v>
      </c>
    </row>
    <row r="37" spans="1:30" ht="15.6" x14ac:dyDescent="0.3">
      <c r="A37" s="64">
        <v>30</v>
      </c>
      <c r="B37" s="70" t="s">
        <v>57</v>
      </c>
      <c r="C37" s="82">
        <v>1</v>
      </c>
      <c r="D37" s="53">
        <v>1</v>
      </c>
      <c r="E37" s="54">
        <v>1</v>
      </c>
      <c r="F37" s="54">
        <v>1</v>
      </c>
      <c r="G37" s="54"/>
      <c r="H37" s="54"/>
      <c r="I37" s="15"/>
      <c r="J37" s="12">
        <f t="shared" si="0"/>
        <v>4</v>
      </c>
      <c r="K37" s="6"/>
      <c r="L37" s="58">
        <v>1</v>
      </c>
      <c r="M37" s="19">
        <v>1</v>
      </c>
      <c r="N37" s="59">
        <v>1</v>
      </c>
      <c r="O37" s="59"/>
      <c r="P37" s="59"/>
      <c r="Q37" s="59"/>
      <c r="R37" s="18"/>
      <c r="S37" s="7">
        <f t="shared" si="1"/>
        <v>3</v>
      </c>
      <c r="T37" s="6"/>
      <c r="U37" s="218">
        <v>1</v>
      </c>
      <c r="V37" s="219">
        <v>1</v>
      </c>
      <c r="W37" s="219">
        <v>1</v>
      </c>
      <c r="X37" s="51"/>
      <c r="Y37" s="51"/>
      <c r="Z37" s="51"/>
      <c r="AA37" s="18"/>
      <c r="AB37" s="7">
        <f t="shared" si="2"/>
        <v>3</v>
      </c>
      <c r="AC37" s="6"/>
      <c r="AD37" s="7">
        <f t="shared" si="3"/>
        <v>10</v>
      </c>
    </row>
    <row r="38" spans="1:30" ht="15.6" x14ac:dyDescent="0.3">
      <c r="A38" s="63">
        <v>31</v>
      </c>
      <c r="B38" s="70" t="s">
        <v>58</v>
      </c>
      <c r="C38" s="83">
        <v>1</v>
      </c>
      <c r="D38" s="53">
        <v>1</v>
      </c>
      <c r="E38" s="54">
        <v>1</v>
      </c>
      <c r="F38" s="54">
        <v>1</v>
      </c>
      <c r="G38" s="54"/>
      <c r="H38" s="54"/>
      <c r="I38" s="15"/>
      <c r="J38" s="12">
        <f t="shared" si="0"/>
        <v>4</v>
      </c>
      <c r="K38" s="6"/>
      <c r="L38" s="58">
        <v>1</v>
      </c>
      <c r="M38" s="19">
        <v>1</v>
      </c>
      <c r="N38" s="59">
        <v>1</v>
      </c>
      <c r="O38" s="59"/>
      <c r="P38" s="59"/>
      <c r="Q38" s="59"/>
      <c r="R38" s="18"/>
      <c r="S38" s="7">
        <f t="shared" si="1"/>
        <v>3</v>
      </c>
      <c r="T38" s="6"/>
      <c r="U38" s="218">
        <v>1</v>
      </c>
      <c r="V38" s="219">
        <v>1</v>
      </c>
      <c r="W38" s="219">
        <v>1</v>
      </c>
      <c r="X38" s="51"/>
      <c r="Y38" s="51"/>
      <c r="Z38" s="51"/>
      <c r="AA38" s="18"/>
      <c r="AB38" s="7">
        <f t="shared" si="2"/>
        <v>3</v>
      </c>
      <c r="AC38" s="6"/>
      <c r="AD38" s="7">
        <f t="shared" si="3"/>
        <v>10</v>
      </c>
    </row>
    <row r="39" spans="1:30" ht="15.6" x14ac:dyDescent="0.3">
      <c r="A39" s="64">
        <v>32</v>
      </c>
      <c r="B39" s="70" t="s">
        <v>59</v>
      </c>
      <c r="C39" s="82">
        <v>1</v>
      </c>
      <c r="D39" s="53">
        <v>1</v>
      </c>
      <c r="E39" s="54">
        <v>0</v>
      </c>
      <c r="F39" s="54">
        <v>1</v>
      </c>
      <c r="G39" s="54"/>
      <c r="H39" s="54"/>
      <c r="I39" s="15"/>
      <c r="J39" s="12">
        <f t="shared" si="0"/>
        <v>3</v>
      </c>
      <c r="K39" s="6"/>
      <c r="L39" s="58">
        <v>1</v>
      </c>
      <c r="M39" s="19">
        <v>1</v>
      </c>
      <c r="N39" s="59">
        <v>0</v>
      </c>
      <c r="O39" s="59"/>
      <c r="P39" s="59"/>
      <c r="Q39" s="59"/>
      <c r="R39" s="18"/>
      <c r="S39" s="7">
        <f t="shared" si="1"/>
        <v>2</v>
      </c>
      <c r="T39" s="6"/>
      <c r="U39" s="218">
        <v>1</v>
      </c>
      <c r="V39" s="219">
        <v>1</v>
      </c>
      <c r="W39" s="219">
        <v>1</v>
      </c>
      <c r="X39" s="51"/>
      <c r="Y39" s="51"/>
      <c r="Z39" s="51"/>
      <c r="AA39" s="18"/>
      <c r="AB39" s="7">
        <f t="shared" si="2"/>
        <v>3</v>
      </c>
      <c r="AC39" s="6"/>
      <c r="AD39" s="7">
        <f t="shared" si="3"/>
        <v>8</v>
      </c>
    </row>
    <row r="40" spans="1:30" ht="15.6" x14ac:dyDescent="0.3">
      <c r="A40" s="63">
        <v>33</v>
      </c>
      <c r="B40" s="70" t="s">
        <v>60</v>
      </c>
      <c r="C40" s="83">
        <v>1</v>
      </c>
      <c r="D40" s="53">
        <v>1</v>
      </c>
      <c r="E40" s="54">
        <v>0</v>
      </c>
      <c r="F40" s="54">
        <v>1</v>
      </c>
      <c r="G40" s="54"/>
      <c r="H40" s="54"/>
      <c r="I40" s="15"/>
      <c r="J40" s="12">
        <f t="shared" si="0"/>
        <v>3</v>
      </c>
      <c r="K40" s="6"/>
      <c r="L40" s="58">
        <v>0</v>
      </c>
      <c r="M40" s="19">
        <v>1</v>
      </c>
      <c r="N40" s="59">
        <v>0</v>
      </c>
      <c r="O40" s="59"/>
      <c r="P40" s="59"/>
      <c r="Q40" s="59"/>
      <c r="R40" s="18"/>
      <c r="S40" s="7">
        <f t="shared" si="1"/>
        <v>1</v>
      </c>
      <c r="T40" s="6"/>
      <c r="U40" s="220">
        <v>0</v>
      </c>
      <c r="V40" s="221">
        <v>0</v>
      </c>
      <c r="W40" s="221">
        <v>0</v>
      </c>
      <c r="X40" s="51"/>
      <c r="Y40" s="51"/>
      <c r="Z40" s="51"/>
      <c r="AA40" s="18"/>
      <c r="AB40" s="7">
        <f t="shared" si="2"/>
        <v>0</v>
      </c>
      <c r="AC40" s="6"/>
      <c r="AD40" s="7">
        <f t="shared" si="3"/>
        <v>4</v>
      </c>
    </row>
    <row r="41" spans="1:30" ht="15.6" x14ac:dyDescent="0.3">
      <c r="A41" s="64">
        <v>34</v>
      </c>
      <c r="B41" s="70" t="s">
        <v>61</v>
      </c>
      <c r="C41" s="82">
        <v>1</v>
      </c>
      <c r="D41" s="53">
        <v>1</v>
      </c>
      <c r="E41" s="54">
        <v>0</v>
      </c>
      <c r="F41" s="54">
        <v>1</v>
      </c>
      <c r="G41" s="54"/>
      <c r="H41" s="54"/>
      <c r="I41" s="15"/>
      <c r="J41" s="12">
        <f t="shared" si="0"/>
        <v>3</v>
      </c>
      <c r="K41" s="6"/>
      <c r="L41" s="58">
        <v>0</v>
      </c>
      <c r="M41" s="19">
        <v>0</v>
      </c>
      <c r="N41" s="59">
        <v>0</v>
      </c>
      <c r="O41" s="59"/>
      <c r="P41" s="59"/>
      <c r="Q41" s="59"/>
      <c r="R41" s="18"/>
      <c r="S41" s="7">
        <f t="shared" si="1"/>
        <v>0</v>
      </c>
      <c r="T41" s="6"/>
      <c r="U41" s="220">
        <v>0</v>
      </c>
      <c r="V41" s="221">
        <v>0</v>
      </c>
      <c r="W41" s="221">
        <v>0</v>
      </c>
      <c r="X41" s="51"/>
      <c r="Y41" s="51"/>
      <c r="Z41" s="51"/>
      <c r="AA41" s="18"/>
      <c r="AB41" s="7">
        <f t="shared" si="2"/>
        <v>0</v>
      </c>
      <c r="AC41" s="6"/>
      <c r="AD41" s="7">
        <f t="shared" si="3"/>
        <v>3</v>
      </c>
    </row>
    <row r="42" spans="1:30" ht="15.6" x14ac:dyDescent="0.3">
      <c r="A42" s="63">
        <v>35</v>
      </c>
      <c r="B42" s="70" t="s">
        <v>62</v>
      </c>
      <c r="C42" s="83">
        <v>1</v>
      </c>
      <c r="D42" s="53">
        <v>1</v>
      </c>
      <c r="E42" s="54">
        <v>1</v>
      </c>
      <c r="F42" s="54">
        <v>1</v>
      </c>
      <c r="G42" s="54"/>
      <c r="H42" s="54"/>
      <c r="I42" s="15"/>
      <c r="J42" s="12">
        <f t="shared" si="0"/>
        <v>4</v>
      </c>
      <c r="K42" s="6"/>
      <c r="L42" s="58">
        <v>1</v>
      </c>
      <c r="M42" s="19">
        <v>0</v>
      </c>
      <c r="N42" s="59">
        <v>1</v>
      </c>
      <c r="O42" s="59"/>
      <c r="P42" s="59"/>
      <c r="Q42" s="59"/>
      <c r="R42" s="18"/>
      <c r="S42" s="7">
        <f t="shared" si="1"/>
        <v>2</v>
      </c>
      <c r="T42" s="6"/>
      <c r="U42" s="220">
        <v>0</v>
      </c>
      <c r="V42" s="221">
        <v>0</v>
      </c>
      <c r="W42" s="221">
        <v>0</v>
      </c>
      <c r="X42" s="51"/>
      <c r="Y42" s="51"/>
      <c r="Z42" s="51"/>
      <c r="AA42" s="18"/>
      <c r="AB42" s="7">
        <f t="shared" si="2"/>
        <v>0</v>
      </c>
      <c r="AC42" s="6"/>
      <c r="AD42" s="7">
        <f t="shared" si="3"/>
        <v>6</v>
      </c>
    </row>
    <row r="43" spans="1:30" ht="15.6" x14ac:dyDescent="0.3">
      <c r="A43" s="64">
        <v>36</v>
      </c>
      <c r="B43" s="70" t="s">
        <v>63</v>
      </c>
      <c r="C43" s="82">
        <v>1</v>
      </c>
      <c r="D43" s="53">
        <v>1</v>
      </c>
      <c r="E43" s="54">
        <v>1</v>
      </c>
      <c r="F43" s="54">
        <v>1</v>
      </c>
      <c r="G43" s="54"/>
      <c r="H43" s="54"/>
      <c r="I43" s="15"/>
      <c r="J43" s="12">
        <f t="shared" si="0"/>
        <v>4</v>
      </c>
      <c r="K43" s="6"/>
      <c r="L43" s="58">
        <v>1</v>
      </c>
      <c r="M43" s="19">
        <v>1</v>
      </c>
      <c r="N43" s="59">
        <v>1</v>
      </c>
      <c r="O43" s="59"/>
      <c r="P43" s="59"/>
      <c r="Q43" s="59"/>
      <c r="R43" s="18"/>
      <c r="S43" s="7">
        <f t="shared" si="1"/>
        <v>3</v>
      </c>
      <c r="T43" s="6"/>
      <c r="U43" s="218">
        <v>1</v>
      </c>
      <c r="V43" s="219">
        <v>1</v>
      </c>
      <c r="W43" s="219">
        <v>1</v>
      </c>
      <c r="X43" s="51"/>
      <c r="Y43" s="51"/>
      <c r="Z43" s="51"/>
      <c r="AA43" s="18"/>
      <c r="AB43" s="7">
        <f t="shared" si="2"/>
        <v>3</v>
      </c>
      <c r="AC43" s="6"/>
      <c r="AD43" s="7">
        <f t="shared" si="3"/>
        <v>10</v>
      </c>
    </row>
    <row r="44" spans="1:30" ht="15.6" x14ac:dyDescent="0.3">
      <c r="A44" s="63">
        <v>37</v>
      </c>
      <c r="B44" s="70" t="s">
        <v>64</v>
      </c>
      <c r="C44" s="83">
        <v>1</v>
      </c>
      <c r="D44" s="53">
        <v>1</v>
      </c>
      <c r="E44" s="54">
        <v>1</v>
      </c>
      <c r="F44" s="54">
        <v>1</v>
      </c>
      <c r="G44" s="54"/>
      <c r="H44" s="54"/>
      <c r="I44" s="15"/>
      <c r="J44" s="12">
        <f t="shared" si="0"/>
        <v>4</v>
      </c>
      <c r="K44" s="6"/>
      <c r="L44" s="58">
        <v>0</v>
      </c>
      <c r="M44" s="19">
        <v>1</v>
      </c>
      <c r="N44" s="59">
        <v>1</v>
      </c>
      <c r="O44" s="59"/>
      <c r="P44" s="59"/>
      <c r="Q44" s="59"/>
      <c r="R44" s="18"/>
      <c r="S44" s="7">
        <f t="shared" si="1"/>
        <v>2</v>
      </c>
      <c r="T44" s="6"/>
      <c r="U44" s="218">
        <v>1</v>
      </c>
      <c r="V44" s="219">
        <v>1</v>
      </c>
      <c r="W44" s="219">
        <v>1</v>
      </c>
      <c r="X44" s="51"/>
      <c r="Y44" s="51"/>
      <c r="Z44" s="51"/>
      <c r="AA44" s="18"/>
      <c r="AB44" s="7">
        <f t="shared" si="2"/>
        <v>3</v>
      </c>
      <c r="AC44" s="6"/>
      <c r="AD44" s="7">
        <f t="shared" si="3"/>
        <v>9</v>
      </c>
    </row>
    <row r="45" spans="1:30" ht="15.6" x14ac:dyDescent="0.3">
      <c r="A45" s="64">
        <v>38</v>
      </c>
      <c r="B45" s="70" t="s">
        <v>65</v>
      </c>
      <c r="C45" s="82">
        <v>1</v>
      </c>
      <c r="D45" s="53">
        <v>1</v>
      </c>
      <c r="E45" s="54">
        <v>0</v>
      </c>
      <c r="F45" s="54">
        <v>1</v>
      </c>
      <c r="G45" s="54"/>
      <c r="H45" s="54"/>
      <c r="I45" s="15"/>
      <c r="J45" s="12">
        <f t="shared" si="0"/>
        <v>3</v>
      </c>
      <c r="K45" s="6"/>
      <c r="L45" s="58">
        <v>0</v>
      </c>
      <c r="M45" s="19">
        <v>0</v>
      </c>
      <c r="N45" s="59">
        <v>1</v>
      </c>
      <c r="O45" s="59"/>
      <c r="P45" s="59"/>
      <c r="Q45" s="59"/>
      <c r="R45" s="18"/>
      <c r="S45" s="7">
        <f t="shared" si="1"/>
        <v>1</v>
      </c>
      <c r="T45" s="6"/>
      <c r="U45" s="220">
        <v>0</v>
      </c>
      <c r="V45" s="221">
        <v>0</v>
      </c>
      <c r="W45" s="221">
        <v>0</v>
      </c>
      <c r="X45" s="51"/>
      <c r="Y45" s="51"/>
      <c r="Z45" s="51"/>
      <c r="AA45" s="18"/>
      <c r="AB45" s="7">
        <f t="shared" si="2"/>
        <v>0</v>
      </c>
      <c r="AC45" s="6"/>
      <c r="AD45" s="7">
        <f t="shared" si="3"/>
        <v>4</v>
      </c>
    </row>
    <row r="46" spans="1:30" ht="15.6" x14ac:dyDescent="0.3">
      <c r="A46" s="63">
        <v>39</v>
      </c>
      <c r="B46" s="70" t="s">
        <v>66</v>
      </c>
      <c r="C46" s="83">
        <v>1</v>
      </c>
      <c r="D46" s="53">
        <v>1</v>
      </c>
      <c r="E46" s="54">
        <v>1</v>
      </c>
      <c r="F46" s="54">
        <v>1</v>
      </c>
      <c r="G46" s="54"/>
      <c r="H46" s="54"/>
      <c r="I46" s="15"/>
      <c r="J46" s="12">
        <f t="shared" si="0"/>
        <v>4</v>
      </c>
      <c r="K46" s="6"/>
      <c r="L46" s="58">
        <v>0</v>
      </c>
      <c r="M46" s="19">
        <v>1</v>
      </c>
      <c r="N46" s="59">
        <v>1</v>
      </c>
      <c r="O46" s="59"/>
      <c r="P46" s="59"/>
      <c r="Q46" s="59"/>
      <c r="R46" s="18"/>
      <c r="S46" s="7">
        <f t="shared" si="1"/>
        <v>2</v>
      </c>
      <c r="T46" s="6"/>
      <c r="U46" s="218">
        <v>1</v>
      </c>
      <c r="V46" s="219">
        <v>1</v>
      </c>
      <c r="W46" s="219">
        <v>1</v>
      </c>
      <c r="X46" s="51"/>
      <c r="Y46" s="51"/>
      <c r="Z46" s="51"/>
      <c r="AA46" s="18"/>
      <c r="AB46" s="7">
        <f t="shared" si="2"/>
        <v>3</v>
      </c>
      <c r="AC46" s="6"/>
      <c r="AD46" s="7">
        <f t="shared" si="3"/>
        <v>9</v>
      </c>
    </row>
    <row r="47" spans="1:30" ht="15.6" x14ac:dyDescent="0.3">
      <c r="A47" s="64">
        <v>40</v>
      </c>
      <c r="B47" s="70" t="s">
        <v>67</v>
      </c>
      <c r="C47" s="82">
        <v>1</v>
      </c>
      <c r="D47" s="53">
        <v>1</v>
      </c>
      <c r="E47" s="54">
        <v>0</v>
      </c>
      <c r="F47" s="54">
        <v>0</v>
      </c>
      <c r="G47" s="54"/>
      <c r="H47" s="54"/>
      <c r="I47" s="15"/>
      <c r="J47" s="12">
        <f t="shared" si="0"/>
        <v>2</v>
      </c>
      <c r="K47" s="6"/>
      <c r="L47" s="58">
        <v>0</v>
      </c>
      <c r="M47" s="19">
        <v>1</v>
      </c>
      <c r="N47" s="59">
        <v>1</v>
      </c>
      <c r="O47" s="59"/>
      <c r="P47" s="59"/>
      <c r="Q47" s="59"/>
      <c r="R47" s="18"/>
      <c r="S47" s="7">
        <f t="shared" si="1"/>
        <v>2</v>
      </c>
      <c r="T47" s="6"/>
      <c r="U47" s="218">
        <v>1</v>
      </c>
      <c r="V47" s="219">
        <v>1</v>
      </c>
      <c r="W47" s="219">
        <v>1</v>
      </c>
      <c r="X47" s="51"/>
      <c r="Y47" s="51"/>
      <c r="Z47" s="51"/>
      <c r="AA47" s="18"/>
      <c r="AB47" s="7">
        <f t="shared" si="2"/>
        <v>3</v>
      </c>
      <c r="AC47" s="6"/>
      <c r="AD47" s="7">
        <f t="shared" si="3"/>
        <v>7</v>
      </c>
    </row>
    <row r="48" spans="1:30" ht="15.6" x14ac:dyDescent="0.3">
      <c r="A48" s="63">
        <v>41</v>
      </c>
      <c r="B48" s="70" t="s">
        <v>68</v>
      </c>
      <c r="C48" s="83">
        <v>1</v>
      </c>
      <c r="D48" s="53">
        <v>1</v>
      </c>
      <c r="E48" s="54">
        <v>0</v>
      </c>
      <c r="F48" s="54">
        <v>1</v>
      </c>
      <c r="G48" s="54"/>
      <c r="H48" s="54"/>
      <c r="I48" s="15"/>
      <c r="J48" s="12">
        <f t="shared" si="0"/>
        <v>3</v>
      </c>
      <c r="K48" s="6"/>
      <c r="L48" s="58">
        <v>1</v>
      </c>
      <c r="M48" s="19">
        <v>1</v>
      </c>
      <c r="N48" s="59">
        <v>1</v>
      </c>
      <c r="O48" s="59"/>
      <c r="P48" s="59"/>
      <c r="Q48" s="59"/>
      <c r="R48" s="18"/>
      <c r="S48" s="7">
        <f t="shared" si="1"/>
        <v>3</v>
      </c>
      <c r="T48" s="6"/>
      <c r="U48" s="220">
        <v>0</v>
      </c>
      <c r="V48" s="221">
        <v>0</v>
      </c>
      <c r="W48" s="221">
        <v>0</v>
      </c>
      <c r="X48" s="51"/>
      <c r="Y48" s="51"/>
      <c r="Z48" s="51"/>
      <c r="AA48" s="18"/>
      <c r="AB48" s="7">
        <f t="shared" si="2"/>
        <v>0</v>
      </c>
      <c r="AC48" s="6"/>
      <c r="AD48" s="7">
        <f t="shared" si="3"/>
        <v>6</v>
      </c>
    </row>
    <row r="49" spans="1:30" ht="15.6" x14ac:dyDescent="0.3">
      <c r="A49" s="64">
        <v>42</v>
      </c>
      <c r="B49" s="70" t="s">
        <v>69</v>
      </c>
      <c r="C49" s="82">
        <v>1</v>
      </c>
      <c r="D49" s="53">
        <v>1</v>
      </c>
      <c r="E49" s="54">
        <v>0</v>
      </c>
      <c r="F49" s="54">
        <v>1</v>
      </c>
      <c r="G49" s="54"/>
      <c r="H49" s="54"/>
      <c r="I49" s="15"/>
      <c r="J49" s="12">
        <f t="shared" si="0"/>
        <v>3</v>
      </c>
      <c r="K49" s="6"/>
      <c r="L49" s="58">
        <v>1</v>
      </c>
      <c r="M49" s="19">
        <v>1</v>
      </c>
      <c r="N49" s="59">
        <v>1</v>
      </c>
      <c r="O49" s="59"/>
      <c r="P49" s="59"/>
      <c r="Q49" s="59"/>
      <c r="R49" s="18"/>
      <c r="S49" s="7">
        <f t="shared" si="1"/>
        <v>3</v>
      </c>
      <c r="T49" s="6"/>
      <c r="U49" s="218">
        <v>1</v>
      </c>
      <c r="V49" s="219">
        <v>1</v>
      </c>
      <c r="W49" s="219">
        <v>1</v>
      </c>
      <c r="X49" s="51"/>
      <c r="Y49" s="51"/>
      <c r="Z49" s="51"/>
      <c r="AA49" s="18"/>
      <c r="AB49" s="7">
        <f t="shared" si="2"/>
        <v>3</v>
      </c>
      <c r="AC49" s="6"/>
      <c r="AD49" s="7">
        <f t="shared" si="3"/>
        <v>9</v>
      </c>
    </row>
    <row r="50" spans="1:30" ht="15.6" x14ac:dyDescent="0.3">
      <c r="A50" s="63">
        <v>43</v>
      </c>
      <c r="B50" s="70" t="s">
        <v>70</v>
      </c>
      <c r="C50" s="83">
        <v>1</v>
      </c>
      <c r="D50" s="53">
        <v>1</v>
      </c>
      <c r="E50" s="72">
        <v>0</v>
      </c>
      <c r="F50" s="72">
        <v>0</v>
      </c>
      <c r="G50" s="72"/>
      <c r="H50" s="72"/>
      <c r="I50" s="73"/>
      <c r="J50" s="74">
        <f t="shared" si="0"/>
        <v>2</v>
      </c>
      <c r="K50" s="6"/>
      <c r="L50" s="75">
        <v>0</v>
      </c>
      <c r="M50" s="95">
        <v>0</v>
      </c>
      <c r="N50" s="76">
        <v>0</v>
      </c>
      <c r="O50" s="76"/>
      <c r="P50" s="76"/>
      <c r="Q50" s="76"/>
      <c r="R50" s="73"/>
      <c r="S50" s="74">
        <f t="shared" si="1"/>
        <v>0</v>
      </c>
      <c r="T50" s="6"/>
      <c r="U50" s="222">
        <v>0</v>
      </c>
      <c r="V50" s="223">
        <v>0</v>
      </c>
      <c r="W50" s="223">
        <v>0</v>
      </c>
      <c r="X50" s="79"/>
      <c r="Y50" s="79"/>
      <c r="Z50" s="79"/>
      <c r="AA50" s="77"/>
      <c r="AB50" s="78">
        <f t="shared" si="2"/>
        <v>0</v>
      </c>
      <c r="AC50" s="6"/>
      <c r="AD50" s="78">
        <f t="shared" si="3"/>
        <v>2</v>
      </c>
    </row>
    <row r="51" spans="1:30" ht="15.6" x14ac:dyDescent="0.3">
      <c r="A51" s="63">
        <v>44</v>
      </c>
      <c r="B51" s="70" t="s">
        <v>71</v>
      </c>
      <c r="C51" s="82">
        <v>1</v>
      </c>
      <c r="D51" s="53">
        <v>1</v>
      </c>
      <c r="E51" s="54">
        <v>1</v>
      </c>
      <c r="F51" s="54">
        <v>1</v>
      </c>
      <c r="G51" s="54"/>
      <c r="H51" s="54"/>
      <c r="I51" s="18"/>
      <c r="J51" s="7">
        <f t="shared" ref="J51:J52" si="4">SUM(C51:H51)</f>
        <v>4</v>
      </c>
      <c r="K51" s="6"/>
      <c r="L51" s="58">
        <v>1</v>
      </c>
      <c r="M51" s="19">
        <v>1</v>
      </c>
      <c r="N51" s="59">
        <v>1</v>
      </c>
      <c r="O51" s="59"/>
      <c r="P51" s="59"/>
      <c r="Q51" s="59"/>
      <c r="R51" s="15"/>
      <c r="S51" s="12">
        <f t="shared" ref="S51:S52" si="5">SUM(L51:Q51)</f>
        <v>3</v>
      </c>
      <c r="T51" s="6"/>
      <c r="U51" s="218">
        <v>1</v>
      </c>
      <c r="V51" s="219">
        <v>1</v>
      </c>
      <c r="W51" s="219">
        <v>1</v>
      </c>
      <c r="X51" s="51"/>
      <c r="Y51" s="51"/>
      <c r="Z51" s="51"/>
      <c r="AA51" s="15"/>
      <c r="AB51" s="12">
        <f t="shared" ref="AB51:AB52" si="6">SUM(U51:Z51)</f>
        <v>3</v>
      </c>
      <c r="AC51" s="6"/>
      <c r="AD51" s="7">
        <f t="shared" ref="AD51:AD52" si="7">SUM(AB51,S51,J51)</f>
        <v>10</v>
      </c>
    </row>
    <row r="52" spans="1:30" ht="16.2" thickBot="1" x14ac:dyDescent="0.35">
      <c r="A52" s="63">
        <v>45</v>
      </c>
      <c r="B52" s="70" t="s">
        <v>72</v>
      </c>
      <c r="C52" s="83">
        <v>1</v>
      </c>
      <c r="D52" s="53">
        <v>1</v>
      </c>
      <c r="E52" s="55">
        <v>0</v>
      </c>
      <c r="F52" s="55">
        <v>1</v>
      </c>
      <c r="G52" s="55"/>
      <c r="H52" s="55"/>
      <c r="I52" s="16"/>
      <c r="J52" s="8">
        <f t="shared" si="4"/>
        <v>3</v>
      </c>
      <c r="K52" s="6"/>
      <c r="L52" s="60">
        <v>0</v>
      </c>
      <c r="M52" s="31">
        <v>0</v>
      </c>
      <c r="N52" s="61">
        <v>0</v>
      </c>
      <c r="O52" s="61"/>
      <c r="P52" s="61"/>
      <c r="Q52" s="61"/>
      <c r="R52" s="16"/>
      <c r="S52" s="13">
        <f t="shared" si="5"/>
        <v>0</v>
      </c>
      <c r="T52" s="6"/>
      <c r="U52" s="224">
        <v>0</v>
      </c>
      <c r="V52" s="225">
        <v>0</v>
      </c>
      <c r="W52" s="225">
        <v>0</v>
      </c>
      <c r="X52" s="52"/>
      <c r="Y52" s="52"/>
      <c r="Z52" s="52"/>
      <c r="AA52" s="16"/>
      <c r="AB52" s="13">
        <f t="shared" si="6"/>
        <v>0</v>
      </c>
      <c r="AC52" s="6"/>
      <c r="AD52" s="8">
        <f t="shared" si="7"/>
        <v>3</v>
      </c>
    </row>
    <row r="53" spans="1:30" ht="15" thickTop="1" x14ac:dyDescent="0.3"/>
  </sheetData>
  <mergeCells count="4">
    <mergeCell ref="D2:AA4"/>
    <mergeCell ref="C6:J6"/>
    <mergeCell ref="L6:S6"/>
    <mergeCell ref="U6:AB6"/>
  </mergeCells>
  <conditionalFormatting sqref="C8:H52">
    <cfRule type="containsText" dxfId="23" priority="3" operator="containsText" text="0">
      <formula>NOT(ISERROR(SEARCH("0",C8)))</formula>
    </cfRule>
  </conditionalFormatting>
  <conditionalFormatting sqref="L8:L52 N8:Q52">
    <cfRule type="containsText" dxfId="22" priority="2" operator="containsText" text="0">
      <formula>NOT(ISERROR(SEARCH("0",L8)))</formula>
    </cfRule>
  </conditionalFormatting>
  <conditionalFormatting sqref="U8:Z52">
    <cfRule type="containsText" dxfId="21" priority="1" operator="containsText" text="0">
      <formula>NOT(ISERROR(SEARCH("0",U8)))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DF94E-0F1F-4196-ADD0-A83AE55B831D}">
  <dimension ref="A1:BC55"/>
  <sheetViews>
    <sheetView zoomScale="64" workbookViewId="0">
      <pane xSplit="2" topLeftCell="AW1" activePane="topRight" state="frozen"/>
      <selection pane="topRight" activeCell="BB10" sqref="BB10"/>
    </sheetView>
  </sheetViews>
  <sheetFormatPr defaultRowHeight="15.6" x14ac:dyDescent="0.3"/>
  <cols>
    <col min="1" max="1" width="4.77734375" style="3" customWidth="1"/>
    <col min="2" max="2" width="53.77734375" style="3" customWidth="1"/>
    <col min="3" max="21" width="8.88671875" style="3"/>
    <col min="22" max="22" width="17.5546875" style="3" customWidth="1"/>
    <col min="23" max="23" width="18.109375" style="3" customWidth="1"/>
    <col min="24" max="48" width="8.88671875" style="3"/>
    <col min="49" max="49" width="17.5546875" style="3" customWidth="1"/>
    <col min="50" max="50" width="17.88671875" style="3" customWidth="1"/>
    <col min="51" max="51" width="8.88671875" style="3"/>
    <col min="52" max="52" width="17.6640625" style="3" customWidth="1"/>
    <col min="53" max="53" width="17.5546875" style="3" customWidth="1"/>
    <col min="54" max="55" width="17.77734375" style="3" customWidth="1"/>
    <col min="56" max="16384" width="8.88671875" style="3"/>
  </cols>
  <sheetData>
    <row r="1" spans="1:55" x14ac:dyDescent="0.3">
      <c r="B1" s="3" t="str">
        <f>Attendance!B1</f>
        <v>SUBJECT: IS 2</v>
      </c>
    </row>
    <row r="2" spans="1:55" x14ac:dyDescent="0.3">
      <c r="B2" s="3" t="str">
        <f>Attendance!B2</f>
        <v>COURSE/YEAR: BSIT 1D</v>
      </c>
      <c r="C2" s="226" t="s">
        <v>20</v>
      </c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7"/>
      <c r="AT2" s="227"/>
      <c r="AU2" s="227"/>
      <c r="AV2" s="227"/>
      <c r="AW2" s="227"/>
      <c r="AX2" s="227"/>
    </row>
    <row r="3" spans="1:55" x14ac:dyDescent="0.3">
      <c r="B3" s="3" t="str">
        <f>Attendance!B3</f>
        <v>TIME: 1:00 PM - 5:00 PM</v>
      </c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7"/>
      <c r="AJ3" s="227"/>
      <c r="AK3" s="227"/>
      <c r="AL3" s="227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</row>
    <row r="4" spans="1:55" x14ac:dyDescent="0.3">
      <c r="B4" s="3" t="str">
        <f>Attendance!B4</f>
        <v>ROOM: COMPLAB 4</v>
      </c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7"/>
      <c r="AD4" s="227"/>
      <c r="AE4" s="227"/>
      <c r="AF4" s="227"/>
      <c r="AG4" s="227"/>
      <c r="AH4" s="227"/>
      <c r="AI4" s="227"/>
      <c r="AJ4" s="227"/>
      <c r="AK4" s="227"/>
      <c r="AL4" s="227"/>
      <c r="AM4" s="227"/>
      <c r="AN4" s="227"/>
      <c r="AO4" s="227"/>
      <c r="AP4" s="227"/>
      <c r="AQ4" s="227"/>
      <c r="AR4" s="227"/>
      <c r="AS4" s="227"/>
      <c r="AT4" s="227"/>
      <c r="AU4" s="227"/>
      <c r="AV4" s="227"/>
      <c r="AW4" s="227"/>
      <c r="AX4" s="227"/>
    </row>
    <row r="5" spans="1:55" ht="16.2" thickBot="1" x14ac:dyDescent="0.35">
      <c r="B5" s="3" t="str">
        <f>Attendance!B5</f>
        <v>UNITS: 2</v>
      </c>
    </row>
    <row r="6" spans="1:55" ht="16.8" thickTop="1" thickBot="1" x14ac:dyDescent="0.35">
      <c r="C6" s="228" t="s">
        <v>16</v>
      </c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8"/>
      <c r="Q6" s="228"/>
      <c r="R6" s="228"/>
      <c r="S6" s="228"/>
      <c r="T6" s="228"/>
      <c r="U6" s="228"/>
      <c r="V6" s="4"/>
      <c r="W6" s="4"/>
      <c r="X6" s="4"/>
      <c r="Z6" s="229" t="s">
        <v>22</v>
      </c>
      <c r="AA6" s="229"/>
      <c r="AB6" s="229"/>
      <c r="AC6" s="229"/>
      <c r="AD6" s="229"/>
      <c r="AE6" s="229"/>
      <c r="AF6" s="229"/>
      <c r="AG6" s="229"/>
      <c r="AH6" s="229"/>
      <c r="AI6" s="229"/>
      <c r="AJ6" s="229"/>
      <c r="AK6" s="229"/>
      <c r="AL6" s="229"/>
      <c r="AM6" s="229"/>
      <c r="AN6" s="229"/>
      <c r="AO6" s="229"/>
      <c r="AP6" s="229"/>
      <c r="AQ6" s="229"/>
      <c r="AR6" s="229"/>
      <c r="AS6" s="229"/>
      <c r="AT6" s="229"/>
      <c r="AU6" s="229"/>
      <c r="AV6" s="229"/>
      <c r="AW6" s="229"/>
      <c r="AX6" s="229"/>
      <c r="AZ6" s="257" t="s">
        <v>25</v>
      </c>
      <c r="BA6" s="277"/>
      <c r="BB6" s="258"/>
      <c r="BC6" s="278"/>
    </row>
    <row r="7" spans="1:55" ht="15.6" customHeight="1" thickTop="1" thickBot="1" x14ac:dyDescent="0.35">
      <c r="C7" s="230" t="s">
        <v>12</v>
      </c>
      <c r="D7" s="231"/>
      <c r="E7" s="232"/>
      <c r="F7" s="230" t="s">
        <v>13</v>
      </c>
      <c r="G7" s="231"/>
      <c r="H7" s="231"/>
      <c r="I7" s="231"/>
      <c r="J7" s="231"/>
      <c r="K7" s="232"/>
      <c r="L7" s="230" t="s">
        <v>14</v>
      </c>
      <c r="M7" s="231"/>
      <c r="N7" s="231"/>
      <c r="O7" s="231"/>
      <c r="P7" s="231"/>
      <c r="Q7" s="231"/>
      <c r="R7" s="232"/>
      <c r="S7" s="230" t="s">
        <v>15</v>
      </c>
      <c r="T7" s="231"/>
      <c r="U7" s="232"/>
      <c r="V7" s="233" t="s">
        <v>20</v>
      </c>
      <c r="W7" s="235" t="s">
        <v>21</v>
      </c>
      <c r="X7" s="4"/>
      <c r="Z7" s="237" t="s">
        <v>12</v>
      </c>
      <c r="AA7" s="238"/>
      <c r="AB7" s="238"/>
      <c r="AC7" s="238"/>
      <c r="AD7" s="238"/>
      <c r="AE7" s="238"/>
      <c r="AF7" s="238"/>
      <c r="AG7" s="238"/>
      <c r="AH7" s="239"/>
      <c r="AI7" s="240" t="s">
        <v>18</v>
      </c>
      <c r="AJ7" s="241"/>
      <c r="AK7" s="241"/>
      <c r="AL7" s="241"/>
      <c r="AM7" s="241"/>
      <c r="AN7" s="241"/>
      <c r="AO7" s="241"/>
      <c r="AP7" s="241"/>
      <c r="AQ7" s="242"/>
      <c r="AR7" s="243" t="s">
        <v>19</v>
      </c>
      <c r="AS7" s="241"/>
      <c r="AT7" s="241"/>
      <c r="AU7" s="241"/>
      <c r="AV7" s="242"/>
      <c r="AW7" s="244" t="s">
        <v>20</v>
      </c>
      <c r="AX7" s="235" t="s">
        <v>21</v>
      </c>
      <c r="AZ7" s="279" t="s">
        <v>26</v>
      </c>
      <c r="BA7" s="281" t="s">
        <v>27</v>
      </c>
      <c r="BB7" s="283" t="s">
        <v>20</v>
      </c>
      <c r="BC7" s="281" t="s">
        <v>21</v>
      </c>
    </row>
    <row r="8" spans="1:55" ht="16.8" thickTop="1" thickBot="1" x14ac:dyDescent="0.35">
      <c r="C8" s="246">
        <v>0.05</v>
      </c>
      <c r="D8" s="247"/>
      <c r="E8" s="248"/>
      <c r="F8" s="246">
        <v>0.15</v>
      </c>
      <c r="G8" s="249"/>
      <c r="H8" s="249"/>
      <c r="I8" s="247"/>
      <c r="J8" s="247"/>
      <c r="K8" s="248"/>
      <c r="L8" s="246">
        <v>0.3</v>
      </c>
      <c r="M8" s="249"/>
      <c r="N8" s="249"/>
      <c r="O8" s="249"/>
      <c r="P8" s="247"/>
      <c r="Q8" s="247"/>
      <c r="R8" s="248"/>
      <c r="S8" s="246">
        <v>0.5</v>
      </c>
      <c r="T8" s="247"/>
      <c r="U8" s="248"/>
      <c r="V8" s="234"/>
      <c r="W8" s="236"/>
      <c r="X8" s="5"/>
      <c r="Z8" s="250">
        <v>0.1</v>
      </c>
      <c r="AA8" s="251"/>
      <c r="AB8" s="251"/>
      <c r="AC8" s="251"/>
      <c r="AD8" s="251"/>
      <c r="AE8" s="251"/>
      <c r="AF8" s="252"/>
      <c r="AG8" s="252"/>
      <c r="AH8" s="253"/>
      <c r="AI8" s="246">
        <v>0.4</v>
      </c>
      <c r="AJ8" s="249"/>
      <c r="AK8" s="249"/>
      <c r="AL8" s="249"/>
      <c r="AM8" s="249"/>
      <c r="AN8" s="249"/>
      <c r="AO8" s="247"/>
      <c r="AP8" s="247"/>
      <c r="AQ8" s="248"/>
      <c r="AR8" s="246">
        <v>0.5</v>
      </c>
      <c r="AS8" s="254"/>
      <c r="AT8" s="255"/>
      <c r="AU8" s="255"/>
      <c r="AV8" s="256"/>
      <c r="AW8" s="245"/>
      <c r="AX8" s="236"/>
      <c r="AZ8" s="280"/>
      <c r="BA8" s="282"/>
      <c r="BB8" s="284"/>
      <c r="BC8" s="282"/>
    </row>
    <row r="9" spans="1:55" ht="16.8" thickTop="1" thickBot="1" x14ac:dyDescent="0.35">
      <c r="A9" s="65" t="s">
        <v>9</v>
      </c>
      <c r="B9" s="66" t="s">
        <v>10</v>
      </c>
      <c r="C9" s="153">
        <v>30</v>
      </c>
      <c r="D9" s="130">
        <f>C9/30*50+50</f>
        <v>100</v>
      </c>
      <c r="E9" s="132">
        <f>D9*0.05</f>
        <v>5</v>
      </c>
      <c r="F9" s="154">
        <v>50</v>
      </c>
      <c r="G9" s="155"/>
      <c r="H9" s="156"/>
      <c r="I9" s="132">
        <f>SUM(F9:H9)</f>
        <v>50</v>
      </c>
      <c r="J9" s="157">
        <f>(I9/SUM($F$9:$H$9))*50+50</f>
        <v>100</v>
      </c>
      <c r="K9" s="132">
        <f>J9*0.15</f>
        <v>15</v>
      </c>
      <c r="L9" s="158">
        <v>15</v>
      </c>
      <c r="M9" s="155">
        <v>15</v>
      </c>
      <c r="N9" s="155"/>
      <c r="O9" s="156"/>
      <c r="P9" s="132">
        <f>SUM(L9:O9)</f>
        <v>30</v>
      </c>
      <c r="Q9" s="130">
        <f>(P9/SUM($L$9:$O$9))*50+50</f>
        <v>100</v>
      </c>
      <c r="R9" s="132">
        <f>Q9*0.3</f>
        <v>30</v>
      </c>
      <c r="S9" s="135">
        <v>80</v>
      </c>
      <c r="T9" s="132">
        <f>S9/($S$9)*50+50</f>
        <v>100</v>
      </c>
      <c r="U9" s="159">
        <f>T9*0.5</f>
        <v>50</v>
      </c>
      <c r="V9" s="130">
        <f>SUM(U9,R9,K9,E9)</f>
        <v>100</v>
      </c>
      <c r="W9" s="151"/>
      <c r="Z9" s="30">
        <v>3</v>
      </c>
      <c r="AA9" s="31">
        <v>3</v>
      </c>
      <c r="AB9" s="31">
        <v>3</v>
      </c>
      <c r="AC9" s="31">
        <v>3</v>
      </c>
      <c r="AD9" s="31"/>
      <c r="AE9" s="68"/>
      <c r="AF9" s="110">
        <f>SUM(Z9:AE9)</f>
        <v>12</v>
      </c>
      <c r="AG9" s="136">
        <f>(AF9/SUM($Z$9:$AE$9))*50+50</f>
        <v>100</v>
      </c>
      <c r="AH9" s="136">
        <f>AG9*0.1</f>
        <v>10</v>
      </c>
      <c r="AI9" s="30">
        <v>100</v>
      </c>
      <c r="AJ9" s="31">
        <v>100</v>
      </c>
      <c r="AK9" s="31"/>
      <c r="AL9" s="31"/>
      <c r="AM9" s="31"/>
      <c r="AN9" s="68"/>
      <c r="AO9" s="110">
        <f>SUM(AI9:AN9)</f>
        <v>200</v>
      </c>
      <c r="AP9" s="136">
        <f>(AO9/SUM($AI$9:$AN$9))*50+50</f>
        <v>100</v>
      </c>
      <c r="AQ9" s="136">
        <f>AP9*0.4</f>
        <v>40</v>
      </c>
      <c r="AR9" s="33">
        <v>100</v>
      </c>
      <c r="AS9" s="68"/>
      <c r="AT9" s="110">
        <f>SUM(AR9:AS9)</f>
        <v>100</v>
      </c>
      <c r="AU9" s="136">
        <f>(AT9/SUM($AR$9:$AS$9))*50+50</f>
        <v>100</v>
      </c>
      <c r="AV9" s="136">
        <f>AU9*0.5</f>
        <v>50</v>
      </c>
      <c r="AW9" s="138">
        <f>SUM(AV9,AQ9,AH9)</f>
        <v>100</v>
      </c>
      <c r="AX9" s="69"/>
      <c r="AZ9" s="143">
        <f>V9*0.6</f>
        <v>60</v>
      </c>
      <c r="BA9" s="144">
        <f>AW9*0.4</f>
        <v>40</v>
      </c>
      <c r="BB9" s="145">
        <f>SUM(AZ9:BA9)</f>
        <v>100</v>
      </c>
      <c r="BC9" s="116" t="str">
        <f>IF(BB9&lt;74.5,"FAILED","PASSED")</f>
        <v>PASSED</v>
      </c>
    </row>
    <row r="10" spans="1:55" ht="16.8" thickTop="1" thickBot="1" x14ac:dyDescent="0.35">
      <c r="A10" s="19">
        <f>Attendance!A8</f>
        <v>1</v>
      </c>
      <c r="B10" s="20" t="str">
        <f>Attendance!B8</f>
        <v>Alcantara, Albert Marquez</v>
      </c>
      <c r="C10" s="160">
        <f>Attendance!AD8</f>
        <v>8</v>
      </c>
      <c r="D10" s="135">
        <f t="shared" ref="D10:D52" si="0">C10/30*50+50</f>
        <v>63.333333333333336</v>
      </c>
      <c r="E10" s="134">
        <f t="shared" ref="E10:E52" si="1">D10*0.05</f>
        <v>3.166666666666667</v>
      </c>
      <c r="F10" s="161">
        <v>50</v>
      </c>
      <c r="G10" s="162"/>
      <c r="H10" s="163"/>
      <c r="I10" s="151">
        <f>SUM(F10:H10)</f>
        <v>50</v>
      </c>
      <c r="J10" s="152">
        <f t="shared" ref="J10:J52" si="2">(I10/SUM($F$9:$H$9))*50+50</f>
        <v>100</v>
      </c>
      <c r="K10" s="151">
        <f t="shared" ref="K10:K52" si="3">J10*0.15</f>
        <v>15</v>
      </c>
      <c r="L10" s="164">
        <v>14</v>
      </c>
      <c r="M10" s="162">
        <v>0</v>
      </c>
      <c r="N10" s="162"/>
      <c r="O10" s="163"/>
      <c r="P10" s="134">
        <f t="shared" ref="P10:P52" si="4">SUM(L10:O10)</f>
        <v>14</v>
      </c>
      <c r="Q10" s="133">
        <f t="shared" ref="Q10:Q52" si="5">(P10/SUM($L$9:$O$9))*50+50</f>
        <v>73.333333333333329</v>
      </c>
      <c r="R10" s="134">
        <f t="shared" ref="R10:R52" si="6">Q10*0.3</f>
        <v>21.999999999999996</v>
      </c>
      <c r="S10" s="165">
        <v>74</v>
      </c>
      <c r="T10" s="134">
        <f t="shared" ref="T10:T52" si="7">S10/($S$9)*50+50</f>
        <v>96.25</v>
      </c>
      <c r="U10" s="166">
        <f t="shared" ref="U10:U52" si="8">T10*0.5</f>
        <v>48.125</v>
      </c>
      <c r="V10" s="131">
        <f t="shared" ref="V10:V52" si="9">SUM(U10,R10,K10,E10)</f>
        <v>88.291666666666671</v>
      </c>
      <c r="W10" s="167" t="str">
        <f>IF(V10&lt;74.5,"FAILED","PASSED")</f>
        <v>PASSED</v>
      </c>
      <c r="Z10" s="34">
        <v>3</v>
      </c>
      <c r="AA10" s="35">
        <v>3</v>
      </c>
      <c r="AB10" s="35">
        <v>3</v>
      </c>
      <c r="AC10" s="35">
        <v>0</v>
      </c>
      <c r="AD10" s="35"/>
      <c r="AE10" s="107"/>
      <c r="AF10" s="111">
        <f t="shared" ref="AF10:AF52" si="10">SUM(Z10:AE10)</f>
        <v>9</v>
      </c>
      <c r="AG10" s="137">
        <f t="shared" ref="AG10:AG52" si="11">(AF10/SUM($Z$9:$AE$9))*50+50</f>
        <v>87.5</v>
      </c>
      <c r="AH10" s="137">
        <f t="shared" ref="AH10:AH52" si="12">AG10*0.1</f>
        <v>8.75</v>
      </c>
      <c r="AI10" s="34">
        <v>100</v>
      </c>
      <c r="AJ10" s="35">
        <v>0</v>
      </c>
      <c r="AK10" s="35"/>
      <c r="AL10" s="35"/>
      <c r="AM10" s="35"/>
      <c r="AN10" s="107"/>
      <c r="AO10" s="111">
        <f t="shared" ref="AO10:AO52" si="13">SUM(AI10:AN10)</f>
        <v>100</v>
      </c>
      <c r="AP10" s="137">
        <f t="shared" ref="AP10:AP52" si="14">(AO10/SUM($AI$9:$AN$9))*50+50</f>
        <v>75</v>
      </c>
      <c r="AQ10" s="137">
        <f t="shared" ref="AQ10:AQ52" si="15">AP10*0.4</f>
        <v>30</v>
      </c>
      <c r="AR10" s="36">
        <v>50</v>
      </c>
      <c r="AS10" s="107"/>
      <c r="AT10" s="111">
        <f t="shared" ref="AT10:AT52" si="16">SUM(AR10:AS10)</f>
        <v>50</v>
      </c>
      <c r="AU10" s="137">
        <f t="shared" ref="AU10:AU52" si="17">(AT10/SUM($AR$9:$AS$9))*50+50</f>
        <v>75</v>
      </c>
      <c r="AV10" s="137">
        <f t="shared" ref="AV10:AV52" si="18">AU10*0.5</f>
        <v>37.5</v>
      </c>
      <c r="AW10" s="139">
        <f>SUM(AV10,AQ10,AH10)</f>
        <v>76.25</v>
      </c>
      <c r="AX10" s="113" t="str">
        <f>IF(AW10&lt;74.5, "FAILED", "PASSED")</f>
        <v>PASSED</v>
      </c>
      <c r="AZ10" s="143">
        <f t="shared" ref="AZ10:AZ52" si="19">V10*0.6</f>
        <v>52.975000000000001</v>
      </c>
      <c r="BA10" s="146">
        <f t="shared" ref="BA10:BA52" si="20">AW10*0.4</f>
        <v>30.5</v>
      </c>
      <c r="BB10" s="145">
        <f t="shared" ref="BB10:BB52" si="21">SUM(AZ10:BA10)</f>
        <v>83.474999999999994</v>
      </c>
      <c r="BC10" s="117" t="str">
        <f t="shared" ref="BC10:BC52" si="22">IF(BB10&lt;74.5,"FAILED","PASSED")</f>
        <v>PASSED</v>
      </c>
    </row>
    <row r="11" spans="1:55" ht="16.8" thickTop="1" thickBot="1" x14ac:dyDescent="0.35">
      <c r="A11" s="19">
        <f>Attendance!A9</f>
        <v>2</v>
      </c>
      <c r="B11" s="20" t="str">
        <f>Attendance!B9</f>
        <v>Aliaga, Rence Carl Medeloso</v>
      </c>
      <c r="C11" s="160">
        <f>Attendance!AD9</f>
        <v>10</v>
      </c>
      <c r="D11" s="135">
        <f t="shared" si="0"/>
        <v>66.666666666666657</v>
      </c>
      <c r="E11" s="134">
        <f t="shared" si="1"/>
        <v>3.333333333333333</v>
      </c>
      <c r="F11" s="168">
        <v>10</v>
      </c>
      <c r="G11" s="169"/>
      <c r="H11" s="170"/>
      <c r="I11" s="151">
        <f t="shared" ref="I11:I52" si="23">SUM(F11:H11)</f>
        <v>10</v>
      </c>
      <c r="J11" s="152">
        <f t="shared" si="2"/>
        <v>60</v>
      </c>
      <c r="K11" s="151">
        <f t="shared" si="3"/>
        <v>9</v>
      </c>
      <c r="L11" s="171">
        <v>6</v>
      </c>
      <c r="M11" s="169">
        <v>14</v>
      </c>
      <c r="N11" s="169"/>
      <c r="O11" s="170"/>
      <c r="P11" s="134">
        <f t="shared" si="4"/>
        <v>20</v>
      </c>
      <c r="Q11" s="133">
        <f t="shared" si="5"/>
        <v>83.333333333333329</v>
      </c>
      <c r="R11" s="134">
        <f t="shared" si="6"/>
        <v>24.999999999999996</v>
      </c>
      <c r="S11" s="172">
        <v>64</v>
      </c>
      <c r="T11" s="134">
        <f t="shared" si="7"/>
        <v>90</v>
      </c>
      <c r="U11" s="166">
        <f t="shared" si="8"/>
        <v>45</v>
      </c>
      <c r="V11" s="131">
        <f t="shared" si="9"/>
        <v>82.333333333333329</v>
      </c>
      <c r="W11" s="167" t="str">
        <f t="shared" ref="W11:W52" si="24">IF(V11&lt;74.5,"FAILED","PASSED")</f>
        <v>PASSED</v>
      </c>
      <c r="Z11" s="34">
        <v>3</v>
      </c>
      <c r="AA11" s="35">
        <v>3</v>
      </c>
      <c r="AB11" s="19">
        <v>3</v>
      </c>
      <c r="AC11" s="19">
        <v>3</v>
      </c>
      <c r="AD11" s="19"/>
      <c r="AE11" s="108"/>
      <c r="AF11" s="111">
        <f t="shared" si="10"/>
        <v>12</v>
      </c>
      <c r="AG11" s="137">
        <f t="shared" si="11"/>
        <v>100</v>
      </c>
      <c r="AH11" s="137">
        <f t="shared" si="12"/>
        <v>10</v>
      </c>
      <c r="AI11" s="37">
        <v>100</v>
      </c>
      <c r="AJ11" s="19">
        <v>90</v>
      </c>
      <c r="AK11" s="19"/>
      <c r="AL11" s="19"/>
      <c r="AM11" s="19"/>
      <c r="AN11" s="108"/>
      <c r="AO11" s="111">
        <f t="shared" si="13"/>
        <v>190</v>
      </c>
      <c r="AP11" s="137">
        <f t="shared" si="14"/>
        <v>97.5</v>
      </c>
      <c r="AQ11" s="137">
        <f t="shared" si="15"/>
        <v>39</v>
      </c>
      <c r="AR11" s="36">
        <v>90</v>
      </c>
      <c r="AS11" s="107"/>
      <c r="AT11" s="111">
        <f t="shared" si="16"/>
        <v>90</v>
      </c>
      <c r="AU11" s="137">
        <f t="shared" si="17"/>
        <v>95</v>
      </c>
      <c r="AV11" s="137">
        <f t="shared" si="18"/>
        <v>47.5</v>
      </c>
      <c r="AW11" s="139">
        <f t="shared" ref="AW11:AW52" si="25">SUM(AV11,AQ11,AH11)</f>
        <v>96.5</v>
      </c>
      <c r="AX11" s="113" t="str">
        <f t="shared" ref="AX11:AX52" si="26">IF(AW11&lt;74.5, "FAILED", "PASSED")</f>
        <v>PASSED</v>
      </c>
      <c r="AZ11" s="143">
        <f t="shared" si="19"/>
        <v>49.4</v>
      </c>
      <c r="BA11" s="146">
        <f t="shared" si="20"/>
        <v>38.6</v>
      </c>
      <c r="BB11" s="145">
        <f t="shared" si="21"/>
        <v>88</v>
      </c>
      <c r="BC11" s="117" t="str">
        <f t="shared" si="22"/>
        <v>PASSED</v>
      </c>
    </row>
    <row r="12" spans="1:55" ht="16.8" thickTop="1" thickBot="1" x14ac:dyDescent="0.35">
      <c r="A12" s="19">
        <f>Attendance!A10</f>
        <v>3</v>
      </c>
      <c r="B12" s="20" t="str">
        <f>Attendance!B10</f>
        <v>Almirol, Rheyjan Collado</v>
      </c>
      <c r="C12" s="160">
        <f>Attendance!AD10</f>
        <v>9</v>
      </c>
      <c r="D12" s="135">
        <f t="shared" si="0"/>
        <v>65</v>
      </c>
      <c r="E12" s="134">
        <f t="shared" si="1"/>
        <v>3.25</v>
      </c>
      <c r="F12" s="168">
        <v>50</v>
      </c>
      <c r="G12" s="169"/>
      <c r="H12" s="170"/>
      <c r="I12" s="151">
        <f t="shared" si="23"/>
        <v>50</v>
      </c>
      <c r="J12" s="152">
        <f t="shared" si="2"/>
        <v>100</v>
      </c>
      <c r="K12" s="151">
        <f t="shared" si="3"/>
        <v>15</v>
      </c>
      <c r="L12" s="171">
        <v>7</v>
      </c>
      <c r="M12" s="169">
        <v>0</v>
      </c>
      <c r="N12" s="169"/>
      <c r="O12" s="170"/>
      <c r="P12" s="134">
        <f t="shared" si="4"/>
        <v>7</v>
      </c>
      <c r="Q12" s="133">
        <f t="shared" si="5"/>
        <v>61.666666666666664</v>
      </c>
      <c r="R12" s="134">
        <f t="shared" si="6"/>
        <v>18.5</v>
      </c>
      <c r="S12" s="172">
        <v>51</v>
      </c>
      <c r="T12" s="134">
        <f t="shared" si="7"/>
        <v>81.875</v>
      </c>
      <c r="U12" s="166">
        <f t="shared" si="8"/>
        <v>40.9375</v>
      </c>
      <c r="V12" s="131">
        <f t="shared" si="9"/>
        <v>77.6875</v>
      </c>
      <c r="W12" s="167" t="str">
        <f t="shared" si="24"/>
        <v>PASSED</v>
      </c>
      <c r="Z12" s="34">
        <v>3</v>
      </c>
      <c r="AA12" s="35">
        <v>3</v>
      </c>
      <c r="AB12" s="19">
        <v>3</v>
      </c>
      <c r="AC12" s="19">
        <v>0</v>
      </c>
      <c r="AD12" s="19"/>
      <c r="AE12" s="108"/>
      <c r="AF12" s="111">
        <f t="shared" si="10"/>
        <v>9</v>
      </c>
      <c r="AG12" s="137">
        <f t="shared" si="11"/>
        <v>87.5</v>
      </c>
      <c r="AH12" s="137">
        <f t="shared" si="12"/>
        <v>8.75</v>
      </c>
      <c r="AI12" s="37">
        <v>100</v>
      </c>
      <c r="AJ12" s="19">
        <v>0</v>
      </c>
      <c r="AK12" s="19"/>
      <c r="AL12" s="19"/>
      <c r="AM12" s="19"/>
      <c r="AN12" s="108"/>
      <c r="AO12" s="111">
        <f t="shared" si="13"/>
        <v>100</v>
      </c>
      <c r="AP12" s="137">
        <f t="shared" si="14"/>
        <v>75</v>
      </c>
      <c r="AQ12" s="137">
        <f t="shared" si="15"/>
        <v>30</v>
      </c>
      <c r="AR12" s="36">
        <v>50</v>
      </c>
      <c r="AS12" s="107"/>
      <c r="AT12" s="111">
        <f t="shared" si="16"/>
        <v>50</v>
      </c>
      <c r="AU12" s="137">
        <f t="shared" si="17"/>
        <v>75</v>
      </c>
      <c r="AV12" s="137">
        <f t="shared" si="18"/>
        <v>37.5</v>
      </c>
      <c r="AW12" s="140">
        <f t="shared" si="25"/>
        <v>76.25</v>
      </c>
      <c r="AX12" s="114" t="str">
        <f t="shared" si="26"/>
        <v>PASSED</v>
      </c>
      <c r="AZ12" s="143">
        <f t="shared" si="19"/>
        <v>46.612499999999997</v>
      </c>
      <c r="BA12" s="146">
        <f t="shared" si="20"/>
        <v>30.5</v>
      </c>
      <c r="BB12" s="145">
        <f t="shared" si="21"/>
        <v>77.112499999999997</v>
      </c>
      <c r="BC12" s="117" t="str">
        <f t="shared" si="22"/>
        <v>PASSED</v>
      </c>
    </row>
    <row r="13" spans="1:55" ht="16.8" thickTop="1" thickBot="1" x14ac:dyDescent="0.35">
      <c r="A13" s="19">
        <f>Attendance!A11</f>
        <v>4</v>
      </c>
      <c r="B13" s="20" t="str">
        <f>Attendance!B11</f>
        <v>Andiano, Noel Rabago</v>
      </c>
      <c r="C13" s="160">
        <f>Attendance!AD11</f>
        <v>10</v>
      </c>
      <c r="D13" s="135">
        <f t="shared" si="0"/>
        <v>66.666666666666657</v>
      </c>
      <c r="E13" s="134">
        <f t="shared" si="1"/>
        <v>3.333333333333333</v>
      </c>
      <c r="F13" s="168">
        <v>50</v>
      </c>
      <c r="G13" s="169"/>
      <c r="H13" s="170"/>
      <c r="I13" s="151">
        <f t="shared" si="23"/>
        <v>50</v>
      </c>
      <c r="J13" s="152">
        <f t="shared" si="2"/>
        <v>100</v>
      </c>
      <c r="K13" s="151">
        <f t="shared" si="3"/>
        <v>15</v>
      </c>
      <c r="L13" s="171">
        <v>7</v>
      </c>
      <c r="M13" s="169">
        <v>12</v>
      </c>
      <c r="N13" s="169"/>
      <c r="O13" s="170"/>
      <c r="P13" s="134">
        <f t="shared" si="4"/>
        <v>19</v>
      </c>
      <c r="Q13" s="133">
        <f t="shared" si="5"/>
        <v>81.666666666666657</v>
      </c>
      <c r="R13" s="134">
        <f t="shared" si="6"/>
        <v>24.499999999999996</v>
      </c>
      <c r="S13" s="172">
        <v>38</v>
      </c>
      <c r="T13" s="134">
        <f t="shared" si="7"/>
        <v>73.75</v>
      </c>
      <c r="U13" s="166">
        <f t="shared" si="8"/>
        <v>36.875</v>
      </c>
      <c r="V13" s="131">
        <f t="shared" si="9"/>
        <v>79.708333333333329</v>
      </c>
      <c r="W13" s="167" t="str">
        <f t="shared" si="24"/>
        <v>PASSED</v>
      </c>
      <c r="Z13" s="34">
        <v>3</v>
      </c>
      <c r="AA13" s="35">
        <v>3</v>
      </c>
      <c r="AB13" s="19">
        <v>3</v>
      </c>
      <c r="AC13" s="19">
        <v>3</v>
      </c>
      <c r="AD13" s="19"/>
      <c r="AE13" s="108"/>
      <c r="AF13" s="111">
        <f t="shared" si="10"/>
        <v>12</v>
      </c>
      <c r="AG13" s="137">
        <f t="shared" si="11"/>
        <v>100</v>
      </c>
      <c r="AH13" s="137">
        <f t="shared" si="12"/>
        <v>10</v>
      </c>
      <c r="AI13" s="37">
        <v>100</v>
      </c>
      <c r="AJ13" s="19">
        <v>80</v>
      </c>
      <c r="AK13" s="19"/>
      <c r="AL13" s="19"/>
      <c r="AM13" s="19"/>
      <c r="AN13" s="108"/>
      <c r="AO13" s="111">
        <f t="shared" si="13"/>
        <v>180</v>
      </c>
      <c r="AP13" s="137">
        <f t="shared" si="14"/>
        <v>95</v>
      </c>
      <c r="AQ13" s="137">
        <f t="shared" si="15"/>
        <v>38</v>
      </c>
      <c r="AR13" s="36">
        <v>90</v>
      </c>
      <c r="AS13" s="107"/>
      <c r="AT13" s="111">
        <f t="shared" si="16"/>
        <v>90</v>
      </c>
      <c r="AU13" s="137">
        <f t="shared" si="17"/>
        <v>95</v>
      </c>
      <c r="AV13" s="137">
        <f t="shared" si="18"/>
        <v>47.5</v>
      </c>
      <c r="AW13" s="139">
        <f t="shared" si="25"/>
        <v>95.5</v>
      </c>
      <c r="AX13" s="113" t="str">
        <f t="shared" si="26"/>
        <v>PASSED</v>
      </c>
      <c r="AZ13" s="143">
        <f t="shared" si="19"/>
        <v>47.824999999999996</v>
      </c>
      <c r="BA13" s="146">
        <f t="shared" si="20"/>
        <v>38.200000000000003</v>
      </c>
      <c r="BB13" s="145">
        <f t="shared" si="21"/>
        <v>86.025000000000006</v>
      </c>
      <c r="BC13" s="117" t="str">
        <f t="shared" si="22"/>
        <v>PASSED</v>
      </c>
    </row>
    <row r="14" spans="1:55" ht="16.8" thickTop="1" thickBot="1" x14ac:dyDescent="0.35">
      <c r="A14" s="19">
        <f>Attendance!A12</f>
        <v>5</v>
      </c>
      <c r="B14" s="20" t="str">
        <f>Attendance!B12</f>
        <v>Ante, Clyde Mhyco Mendoza</v>
      </c>
      <c r="C14" s="160">
        <f>Attendance!AD12</f>
        <v>3</v>
      </c>
      <c r="D14" s="135">
        <f t="shared" si="0"/>
        <v>55</v>
      </c>
      <c r="E14" s="134">
        <f t="shared" si="1"/>
        <v>2.75</v>
      </c>
      <c r="F14" s="168">
        <v>10</v>
      </c>
      <c r="G14" s="169"/>
      <c r="H14" s="170"/>
      <c r="I14" s="151">
        <f t="shared" si="23"/>
        <v>10</v>
      </c>
      <c r="J14" s="152">
        <f t="shared" si="2"/>
        <v>60</v>
      </c>
      <c r="K14" s="151">
        <f t="shared" si="3"/>
        <v>9</v>
      </c>
      <c r="L14" s="171">
        <v>0</v>
      </c>
      <c r="M14" s="169">
        <v>0</v>
      </c>
      <c r="N14" s="169"/>
      <c r="O14" s="170"/>
      <c r="P14" s="134">
        <f t="shared" si="4"/>
        <v>0</v>
      </c>
      <c r="Q14" s="133">
        <f t="shared" si="5"/>
        <v>50</v>
      </c>
      <c r="R14" s="134">
        <f t="shared" si="6"/>
        <v>15</v>
      </c>
      <c r="S14" s="172">
        <v>66</v>
      </c>
      <c r="T14" s="134">
        <f t="shared" si="7"/>
        <v>91.25</v>
      </c>
      <c r="U14" s="166">
        <f t="shared" si="8"/>
        <v>45.625</v>
      </c>
      <c r="V14" s="131">
        <f t="shared" si="9"/>
        <v>72.375</v>
      </c>
      <c r="W14" s="167" t="str">
        <f t="shared" si="24"/>
        <v>FAILED</v>
      </c>
      <c r="Z14" s="34">
        <v>3</v>
      </c>
      <c r="AA14" s="35">
        <v>3</v>
      </c>
      <c r="AB14" s="19">
        <v>0</v>
      </c>
      <c r="AC14" s="19">
        <v>0</v>
      </c>
      <c r="AD14" s="19"/>
      <c r="AE14" s="108"/>
      <c r="AF14" s="111">
        <f t="shared" si="10"/>
        <v>6</v>
      </c>
      <c r="AG14" s="137">
        <f t="shared" si="11"/>
        <v>75</v>
      </c>
      <c r="AH14" s="137">
        <f t="shared" si="12"/>
        <v>7.5</v>
      </c>
      <c r="AI14" s="37">
        <v>100</v>
      </c>
      <c r="AJ14" s="19">
        <v>85</v>
      </c>
      <c r="AK14" s="19"/>
      <c r="AL14" s="19"/>
      <c r="AM14" s="19"/>
      <c r="AN14" s="108"/>
      <c r="AO14" s="111">
        <f t="shared" si="13"/>
        <v>185</v>
      </c>
      <c r="AP14" s="137">
        <f t="shared" si="14"/>
        <v>96.25</v>
      </c>
      <c r="AQ14" s="137">
        <f t="shared" si="15"/>
        <v>38.5</v>
      </c>
      <c r="AR14" s="36">
        <v>50</v>
      </c>
      <c r="AS14" s="107"/>
      <c r="AT14" s="111">
        <f t="shared" si="16"/>
        <v>50</v>
      </c>
      <c r="AU14" s="137">
        <f t="shared" si="17"/>
        <v>75</v>
      </c>
      <c r="AV14" s="137">
        <f t="shared" si="18"/>
        <v>37.5</v>
      </c>
      <c r="AW14" s="140">
        <f t="shared" si="25"/>
        <v>83.5</v>
      </c>
      <c r="AX14" s="114" t="str">
        <f t="shared" si="26"/>
        <v>PASSED</v>
      </c>
      <c r="AZ14" s="143">
        <f t="shared" si="19"/>
        <v>43.424999999999997</v>
      </c>
      <c r="BA14" s="146">
        <f t="shared" si="20"/>
        <v>33.4</v>
      </c>
      <c r="BB14" s="145">
        <f t="shared" si="21"/>
        <v>76.824999999999989</v>
      </c>
      <c r="BC14" s="117" t="str">
        <f t="shared" si="22"/>
        <v>PASSED</v>
      </c>
    </row>
    <row r="15" spans="1:55" ht="16.8" thickTop="1" thickBot="1" x14ac:dyDescent="0.35">
      <c r="A15" s="19">
        <f>Attendance!A13</f>
        <v>6</v>
      </c>
      <c r="B15" s="20" t="str">
        <f>Attendance!B13</f>
        <v>Antiporda, Jay Mark Cabes</v>
      </c>
      <c r="C15" s="160">
        <f>Attendance!AD13</f>
        <v>10</v>
      </c>
      <c r="D15" s="135">
        <f t="shared" si="0"/>
        <v>66.666666666666657</v>
      </c>
      <c r="E15" s="134">
        <f t="shared" si="1"/>
        <v>3.333333333333333</v>
      </c>
      <c r="F15" s="168">
        <v>50</v>
      </c>
      <c r="G15" s="169"/>
      <c r="H15" s="170"/>
      <c r="I15" s="151">
        <f t="shared" si="23"/>
        <v>50</v>
      </c>
      <c r="J15" s="152">
        <f t="shared" si="2"/>
        <v>100</v>
      </c>
      <c r="K15" s="151">
        <f t="shared" si="3"/>
        <v>15</v>
      </c>
      <c r="L15" s="171">
        <v>11</v>
      </c>
      <c r="M15" s="169">
        <v>14</v>
      </c>
      <c r="N15" s="169"/>
      <c r="O15" s="170"/>
      <c r="P15" s="134">
        <f t="shared" si="4"/>
        <v>25</v>
      </c>
      <c r="Q15" s="133">
        <f t="shared" si="5"/>
        <v>91.666666666666671</v>
      </c>
      <c r="R15" s="134">
        <f t="shared" si="6"/>
        <v>27.5</v>
      </c>
      <c r="S15" s="172">
        <v>54</v>
      </c>
      <c r="T15" s="134">
        <f t="shared" si="7"/>
        <v>83.75</v>
      </c>
      <c r="U15" s="166">
        <f t="shared" si="8"/>
        <v>41.875</v>
      </c>
      <c r="V15" s="131">
        <f t="shared" si="9"/>
        <v>87.708333333333329</v>
      </c>
      <c r="W15" s="167" t="str">
        <f t="shared" si="24"/>
        <v>PASSED</v>
      </c>
      <c r="Z15" s="34">
        <v>3</v>
      </c>
      <c r="AA15" s="35">
        <v>3</v>
      </c>
      <c r="AB15" s="19">
        <v>3</v>
      </c>
      <c r="AC15" s="19">
        <v>3</v>
      </c>
      <c r="AD15" s="19"/>
      <c r="AE15" s="108"/>
      <c r="AF15" s="111">
        <f t="shared" si="10"/>
        <v>12</v>
      </c>
      <c r="AG15" s="137">
        <f t="shared" si="11"/>
        <v>100</v>
      </c>
      <c r="AH15" s="137">
        <f t="shared" si="12"/>
        <v>10</v>
      </c>
      <c r="AI15" s="37">
        <v>100</v>
      </c>
      <c r="AJ15" s="19">
        <v>100</v>
      </c>
      <c r="AK15" s="19"/>
      <c r="AL15" s="19"/>
      <c r="AM15" s="19"/>
      <c r="AN15" s="108"/>
      <c r="AO15" s="111">
        <f t="shared" si="13"/>
        <v>200</v>
      </c>
      <c r="AP15" s="137">
        <f t="shared" si="14"/>
        <v>100</v>
      </c>
      <c r="AQ15" s="137">
        <f t="shared" si="15"/>
        <v>40</v>
      </c>
      <c r="AR15" s="36">
        <v>90</v>
      </c>
      <c r="AS15" s="107"/>
      <c r="AT15" s="111">
        <f t="shared" si="16"/>
        <v>90</v>
      </c>
      <c r="AU15" s="137">
        <f t="shared" si="17"/>
        <v>95</v>
      </c>
      <c r="AV15" s="137">
        <f t="shared" si="18"/>
        <v>47.5</v>
      </c>
      <c r="AW15" s="139">
        <f t="shared" si="25"/>
        <v>97.5</v>
      </c>
      <c r="AX15" s="113" t="str">
        <f t="shared" si="26"/>
        <v>PASSED</v>
      </c>
      <c r="AZ15" s="143">
        <f t="shared" si="19"/>
        <v>52.624999999999993</v>
      </c>
      <c r="BA15" s="146">
        <f t="shared" si="20"/>
        <v>39</v>
      </c>
      <c r="BB15" s="145">
        <f t="shared" si="21"/>
        <v>91.625</v>
      </c>
      <c r="BC15" s="117" t="str">
        <f t="shared" si="22"/>
        <v>PASSED</v>
      </c>
    </row>
    <row r="16" spans="1:55" ht="16.8" thickTop="1" thickBot="1" x14ac:dyDescent="0.35">
      <c r="A16" s="19">
        <f>Attendance!A14</f>
        <v>7</v>
      </c>
      <c r="B16" s="20" t="str">
        <f>Attendance!B14</f>
        <v>Aragon, Jaspher Hanly Tejada</v>
      </c>
      <c r="C16" s="160">
        <f>Attendance!AD14</f>
        <v>6</v>
      </c>
      <c r="D16" s="135">
        <f t="shared" si="0"/>
        <v>60</v>
      </c>
      <c r="E16" s="134">
        <f t="shared" si="1"/>
        <v>3</v>
      </c>
      <c r="F16" s="168">
        <v>50</v>
      </c>
      <c r="G16" s="169"/>
      <c r="H16" s="170"/>
      <c r="I16" s="151">
        <f t="shared" si="23"/>
        <v>50</v>
      </c>
      <c r="J16" s="152">
        <f t="shared" si="2"/>
        <v>100</v>
      </c>
      <c r="K16" s="151">
        <f t="shared" si="3"/>
        <v>15</v>
      </c>
      <c r="L16" s="171">
        <v>0</v>
      </c>
      <c r="M16" s="169">
        <v>11</v>
      </c>
      <c r="N16" s="169"/>
      <c r="O16" s="170"/>
      <c r="P16" s="134">
        <f t="shared" si="4"/>
        <v>11</v>
      </c>
      <c r="Q16" s="133">
        <f t="shared" si="5"/>
        <v>68.333333333333329</v>
      </c>
      <c r="R16" s="134">
        <f t="shared" si="6"/>
        <v>20.499999999999996</v>
      </c>
      <c r="S16" s="172">
        <v>77</v>
      </c>
      <c r="T16" s="134">
        <f t="shared" si="7"/>
        <v>98.125</v>
      </c>
      <c r="U16" s="166">
        <f t="shared" si="8"/>
        <v>49.0625</v>
      </c>
      <c r="V16" s="131">
        <f t="shared" si="9"/>
        <v>87.5625</v>
      </c>
      <c r="W16" s="167" t="str">
        <f t="shared" si="24"/>
        <v>PASSED</v>
      </c>
      <c r="Z16" s="34">
        <v>3</v>
      </c>
      <c r="AA16" s="35">
        <v>3</v>
      </c>
      <c r="AB16" s="19">
        <v>0</v>
      </c>
      <c r="AC16" s="19">
        <v>3</v>
      </c>
      <c r="AD16" s="19"/>
      <c r="AE16" s="108"/>
      <c r="AF16" s="111">
        <f t="shared" si="10"/>
        <v>9</v>
      </c>
      <c r="AG16" s="137">
        <f t="shared" si="11"/>
        <v>87.5</v>
      </c>
      <c r="AH16" s="137">
        <f t="shared" si="12"/>
        <v>8.75</v>
      </c>
      <c r="AI16" s="37">
        <v>95</v>
      </c>
      <c r="AJ16" s="19">
        <v>100</v>
      </c>
      <c r="AK16" s="19"/>
      <c r="AL16" s="19"/>
      <c r="AM16" s="19"/>
      <c r="AN16" s="108"/>
      <c r="AO16" s="111">
        <f t="shared" si="13"/>
        <v>195</v>
      </c>
      <c r="AP16" s="137">
        <f t="shared" si="14"/>
        <v>98.75</v>
      </c>
      <c r="AQ16" s="137">
        <f t="shared" si="15"/>
        <v>39.5</v>
      </c>
      <c r="AR16" s="36">
        <v>90</v>
      </c>
      <c r="AS16" s="107"/>
      <c r="AT16" s="111">
        <f t="shared" si="16"/>
        <v>90</v>
      </c>
      <c r="AU16" s="137">
        <f t="shared" si="17"/>
        <v>95</v>
      </c>
      <c r="AV16" s="137">
        <f t="shared" si="18"/>
        <v>47.5</v>
      </c>
      <c r="AW16" s="140">
        <f t="shared" si="25"/>
        <v>95.75</v>
      </c>
      <c r="AX16" s="114" t="str">
        <f t="shared" si="26"/>
        <v>PASSED</v>
      </c>
      <c r="AZ16" s="143">
        <f t="shared" si="19"/>
        <v>52.537500000000001</v>
      </c>
      <c r="BA16" s="146">
        <f t="shared" si="20"/>
        <v>38.300000000000004</v>
      </c>
      <c r="BB16" s="145">
        <f t="shared" si="21"/>
        <v>90.837500000000006</v>
      </c>
      <c r="BC16" s="117" t="str">
        <f t="shared" si="22"/>
        <v>PASSED</v>
      </c>
    </row>
    <row r="17" spans="1:55" ht="16.8" thickTop="1" thickBot="1" x14ac:dyDescent="0.35">
      <c r="A17" s="19">
        <f>Attendance!A15</f>
        <v>8</v>
      </c>
      <c r="B17" s="20" t="str">
        <f>Attendance!B15</f>
        <v>Armada, Donie Lagania</v>
      </c>
      <c r="C17" s="160">
        <f>Attendance!AD15</f>
        <v>10</v>
      </c>
      <c r="D17" s="135">
        <f t="shared" si="0"/>
        <v>66.666666666666657</v>
      </c>
      <c r="E17" s="134">
        <f t="shared" si="1"/>
        <v>3.333333333333333</v>
      </c>
      <c r="F17" s="168">
        <v>50</v>
      </c>
      <c r="G17" s="169"/>
      <c r="H17" s="170"/>
      <c r="I17" s="151">
        <f t="shared" si="23"/>
        <v>50</v>
      </c>
      <c r="J17" s="152">
        <f t="shared" si="2"/>
        <v>100</v>
      </c>
      <c r="K17" s="151">
        <f t="shared" si="3"/>
        <v>15</v>
      </c>
      <c r="L17" s="171">
        <v>10</v>
      </c>
      <c r="M17" s="169">
        <v>14</v>
      </c>
      <c r="N17" s="169"/>
      <c r="O17" s="170"/>
      <c r="P17" s="134">
        <f t="shared" si="4"/>
        <v>24</v>
      </c>
      <c r="Q17" s="133">
        <f t="shared" si="5"/>
        <v>90</v>
      </c>
      <c r="R17" s="134">
        <f t="shared" si="6"/>
        <v>27</v>
      </c>
      <c r="S17" s="172">
        <v>75</v>
      </c>
      <c r="T17" s="134">
        <f t="shared" si="7"/>
        <v>96.875</v>
      </c>
      <c r="U17" s="166">
        <f t="shared" si="8"/>
        <v>48.4375</v>
      </c>
      <c r="V17" s="131">
        <f t="shared" si="9"/>
        <v>93.770833333333329</v>
      </c>
      <c r="W17" s="167" t="str">
        <f t="shared" si="24"/>
        <v>PASSED</v>
      </c>
      <c r="Z17" s="34">
        <v>3</v>
      </c>
      <c r="AA17" s="35">
        <v>3</v>
      </c>
      <c r="AB17" s="19">
        <v>3</v>
      </c>
      <c r="AC17" s="19">
        <v>3</v>
      </c>
      <c r="AD17" s="19"/>
      <c r="AE17" s="108"/>
      <c r="AF17" s="111">
        <f t="shared" si="10"/>
        <v>12</v>
      </c>
      <c r="AG17" s="137">
        <f t="shared" si="11"/>
        <v>100</v>
      </c>
      <c r="AH17" s="137">
        <f t="shared" si="12"/>
        <v>10</v>
      </c>
      <c r="AI17" s="37">
        <v>100</v>
      </c>
      <c r="AJ17" s="19">
        <v>75</v>
      </c>
      <c r="AK17" s="19"/>
      <c r="AL17" s="19"/>
      <c r="AM17" s="19"/>
      <c r="AN17" s="108"/>
      <c r="AO17" s="111">
        <f t="shared" si="13"/>
        <v>175</v>
      </c>
      <c r="AP17" s="137">
        <f t="shared" si="14"/>
        <v>93.75</v>
      </c>
      <c r="AQ17" s="137">
        <f t="shared" si="15"/>
        <v>37.5</v>
      </c>
      <c r="AR17" s="36">
        <v>90</v>
      </c>
      <c r="AS17" s="107"/>
      <c r="AT17" s="111">
        <f t="shared" si="16"/>
        <v>90</v>
      </c>
      <c r="AU17" s="137">
        <f t="shared" si="17"/>
        <v>95</v>
      </c>
      <c r="AV17" s="137">
        <f t="shared" si="18"/>
        <v>47.5</v>
      </c>
      <c r="AW17" s="139">
        <f t="shared" si="25"/>
        <v>95</v>
      </c>
      <c r="AX17" s="113" t="str">
        <f t="shared" si="26"/>
        <v>PASSED</v>
      </c>
      <c r="AZ17" s="143">
        <f t="shared" si="19"/>
        <v>56.262499999999996</v>
      </c>
      <c r="BA17" s="146">
        <f t="shared" si="20"/>
        <v>38</v>
      </c>
      <c r="BB17" s="145">
        <f t="shared" si="21"/>
        <v>94.262499999999989</v>
      </c>
      <c r="BC17" s="117" t="str">
        <f t="shared" si="22"/>
        <v>PASSED</v>
      </c>
    </row>
    <row r="18" spans="1:55" ht="16.8" thickTop="1" thickBot="1" x14ac:dyDescent="0.35">
      <c r="A18" s="19">
        <f>Attendance!A16</f>
        <v>9</v>
      </c>
      <c r="B18" s="20" t="str">
        <f>Attendance!B16</f>
        <v>Banquil, Clarissa Marie Gonzaga</v>
      </c>
      <c r="C18" s="160">
        <f>Attendance!AD16</f>
        <v>10</v>
      </c>
      <c r="D18" s="135">
        <f t="shared" si="0"/>
        <v>66.666666666666657</v>
      </c>
      <c r="E18" s="134">
        <f t="shared" si="1"/>
        <v>3.333333333333333</v>
      </c>
      <c r="F18" s="168">
        <v>50</v>
      </c>
      <c r="G18" s="169"/>
      <c r="H18" s="170"/>
      <c r="I18" s="151">
        <f t="shared" si="23"/>
        <v>50</v>
      </c>
      <c r="J18" s="152">
        <f t="shared" si="2"/>
        <v>100</v>
      </c>
      <c r="K18" s="151">
        <f t="shared" si="3"/>
        <v>15</v>
      </c>
      <c r="L18" s="171">
        <v>15</v>
      </c>
      <c r="M18" s="169">
        <v>13</v>
      </c>
      <c r="N18" s="169"/>
      <c r="O18" s="170"/>
      <c r="P18" s="134">
        <f t="shared" si="4"/>
        <v>28</v>
      </c>
      <c r="Q18" s="133">
        <f t="shared" si="5"/>
        <v>96.666666666666657</v>
      </c>
      <c r="R18" s="134">
        <f t="shared" si="6"/>
        <v>28.999999999999996</v>
      </c>
      <c r="S18" s="172">
        <v>62</v>
      </c>
      <c r="T18" s="134">
        <f t="shared" si="7"/>
        <v>88.75</v>
      </c>
      <c r="U18" s="166">
        <f t="shared" si="8"/>
        <v>44.375</v>
      </c>
      <c r="V18" s="131">
        <f t="shared" si="9"/>
        <v>91.708333333333329</v>
      </c>
      <c r="W18" s="167" t="str">
        <f t="shared" si="24"/>
        <v>PASSED</v>
      </c>
      <c r="Z18" s="34">
        <v>3</v>
      </c>
      <c r="AA18" s="35">
        <v>3</v>
      </c>
      <c r="AB18" s="19">
        <v>3</v>
      </c>
      <c r="AC18" s="19">
        <v>3</v>
      </c>
      <c r="AD18" s="19"/>
      <c r="AE18" s="108"/>
      <c r="AF18" s="111">
        <f t="shared" si="10"/>
        <v>12</v>
      </c>
      <c r="AG18" s="137">
        <f t="shared" si="11"/>
        <v>100</v>
      </c>
      <c r="AH18" s="137">
        <f t="shared" si="12"/>
        <v>10</v>
      </c>
      <c r="AI18" s="37">
        <v>100</v>
      </c>
      <c r="AJ18" s="19">
        <v>100</v>
      </c>
      <c r="AK18" s="19"/>
      <c r="AL18" s="19"/>
      <c r="AM18" s="19"/>
      <c r="AN18" s="108"/>
      <c r="AO18" s="111">
        <f t="shared" si="13"/>
        <v>200</v>
      </c>
      <c r="AP18" s="137">
        <f t="shared" si="14"/>
        <v>100</v>
      </c>
      <c r="AQ18" s="137">
        <f t="shared" si="15"/>
        <v>40</v>
      </c>
      <c r="AR18" s="36">
        <v>90</v>
      </c>
      <c r="AS18" s="107"/>
      <c r="AT18" s="111">
        <f t="shared" si="16"/>
        <v>90</v>
      </c>
      <c r="AU18" s="137">
        <f t="shared" si="17"/>
        <v>95</v>
      </c>
      <c r="AV18" s="137">
        <f t="shared" si="18"/>
        <v>47.5</v>
      </c>
      <c r="AW18" s="140">
        <f t="shared" si="25"/>
        <v>97.5</v>
      </c>
      <c r="AX18" s="114" t="str">
        <f t="shared" si="26"/>
        <v>PASSED</v>
      </c>
      <c r="AZ18" s="143">
        <f t="shared" si="19"/>
        <v>55.024999999999999</v>
      </c>
      <c r="BA18" s="146">
        <f t="shared" si="20"/>
        <v>39</v>
      </c>
      <c r="BB18" s="145">
        <f t="shared" si="21"/>
        <v>94.025000000000006</v>
      </c>
      <c r="BC18" s="117" t="str">
        <f t="shared" si="22"/>
        <v>PASSED</v>
      </c>
    </row>
    <row r="19" spans="1:55" ht="16.8" thickTop="1" thickBot="1" x14ac:dyDescent="0.35">
      <c r="A19" s="19">
        <f>Attendance!A17</f>
        <v>10</v>
      </c>
      <c r="B19" s="20" t="str">
        <f>Attendance!B17</f>
        <v>Bas, Disney Claire Barde</v>
      </c>
      <c r="C19" s="160">
        <f>Attendance!AD17</f>
        <v>10</v>
      </c>
      <c r="D19" s="135">
        <f t="shared" si="0"/>
        <v>66.666666666666657</v>
      </c>
      <c r="E19" s="134">
        <f t="shared" si="1"/>
        <v>3.333333333333333</v>
      </c>
      <c r="F19" s="168">
        <v>50</v>
      </c>
      <c r="G19" s="169"/>
      <c r="H19" s="170"/>
      <c r="I19" s="151">
        <f t="shared" si="23"/>
        <v>50</v>
      </c>
      <c r="J19" s="152">
        <f t="shared" si="2"/>
        <v>100</v>
      </c>
      <c r="K19" s="151">
        <f t="shared" si="3"/>
        <v>15</v>
      </c>
      <c r="L19" s="171">
        <v>14</v>
      </c>
      <c r="M19" s="169">
        <v>14</v>
      </c>
      <c r="N19" s="169"/>
      <c r="O19" s="170"/>
      <c r="P19" s="134">
        <f t="shared" si="4"/>
        <v>28</v>
      </c>
      <c r="Q19" s="133">
        <f t="shared" si="5"/>
        <v>96.666666666666657</v>
      </c>
      <c r="R19" s="134">
        <f t="shared" si="6"/>
        <v>28.999999999999996</v>
      </c>
      <c r="S19" s="172">
        <v>73</v>
      </c>
      <c r="T19" s="134">
        <f t="shared" si="7"/>
        <v>95.625</v>
      </c>
      <c r="U19" s="166">
        <f t="shared" si="8"/>
        <v>47.8125</v>
      </c>
      <c r="V19" s="131">
        <f t="shared" si="9"/>
        <v>95.145833333333329</v>
      </c>
      <c r="W19" s="167" t="str">
        <f t="shared" si="24"/>
        <v>PASSED</v>
      </c>
      <c r="Z19" s="34">
        <v>3</v>
      </c>
      <c r="AA19" s="35">
        <v>3</v>
      </c>
      <c r="AB19" s="19">
        <v>3</v>
      </c>
      <c r="AC19" s="19">
        <v>3</v>
      </c>
      <c r="AD19" s="19"/>
      <c r="AE19" s="108"/>
      <c r="AF19" s="111">
        <f t="shared" si="10"/>
        <v>12</v>
      </c>
      <c r="AG19" s="137">
        <f t="shared" si="11"/>
        <v>100</v>
      </c>
      <c r="AH19" s="137">
        <f t="shared" si="12"/>
        <v>10</v>
      </c>
      <c r="AI19" s="37">
        <v>100</v>
      </c>
      <c r="AJ19" s="19">
        <v>95</v>
      </c>
      <c r="AK19" s="19"/>
      <c r="AL19" s="19"/>
      <c r="AM19" s="19"/>
      <c r="AN19" s="108"/>
      <c r="AO19" s="111">
        <f t="shared" si="13"/>
        <v>195</v>
      </c>
      <c r="AP19" s="137">
        <f t="shared" si="14"/>
        <v>98.75</v>
      </c>
      <c r="AQ19" s="137">
        <f t="shared" si="15"/>
        <v>39.5</v>
      </c>
      <c r="AR19" s="36">
        <v>90</v>
      </c>
      <c r="AS19" s="107"/>
      <c r="AT19" s="111">
        <f t="shared" si="16"/>
        <v>90</v>
      </c>
      <c r="AU19" s="137">
        <f t="shared" si="17"/>
        <v>95</v>
      </c>
      <c r="AV19" s="137">
        <f t="shared" si="18"/>
        <v>47.5</v>
      </c>
      <c r="AW19" s="139">
        <f t="shared" si="25"/>
        <v>97</v>
      </c>
      <c r="AX19" s="113" t="str">
        <f t="shared" si="26"/>
        <v>PASSED</v>
      </c>
      <c r="AZ19" s="143">
        <f t="shared" si="19"/>
        <v>57.087499999999999</v>
      </c>
      <c r="BA19" s="146">
        <f t="shared" si="20"/>
        <v>38.800000000000004</v>
      </c>
      <c r="BB19" s="145">
        <f t="shared" si="21"/>
        <v>95.887500000000003</v>
      </c>
      <c r="BC19" s="117" t="str">
        <f t="shared" si="22"/>
        <v>PASSED</v>
      </c>
    </row>
    <row r="20" spans="1:55" ht="16.8" thickTop="1" thickBot="1" x14ac:dyDescent="0.35">
      <c r="A20" s="19">
        <f>Attendance!A18</f>
        <v>11</v>
      </c>
      <c r="B20" s="20" t="str">
        <f>Attendance!B18</f>
        <v>Baynosa, Paul Yvanne Alinday</v>
      </c>
      <c r="C20" s="160">
        <f>Attendance!AD18</f>
        <v>4</v>
      </c>
      <c r="D20" s="135">
        <f t="shared" si="0"/>
        <v>56.666666666666664</v>
      </c>
      <c r="E20" s="134">
        <f t="shared" si="1"/>
        <v>2.8333333333333335</v>
      </c>
      <c r="F20" s="168">
        <v>50</v>
      </c>
      <c r="G20" s="169"/>
      <c r="H20" s="170"/>
      <c r="I20" s="151">
        <f t="shared" si="23"/>
        <v>50</v>
      </c>
      <c r="J20" s="152">
        <f t="shared" si="2"/>
        <v>100</v>
      </c>
      <c r="K20" s="151">
        <f t="shared" si="3"/>
        <v>15</v>
      </c>
      <c r="L20" s="171">
        <v>0</v>
      </c>
      <c r="M20" s="169">
        <v>12</v>
      </c>
      <c r="N20" s="169"/>
      <c r="O20" s="170"/>
      <c r="P20" s="134">
        <f t="shared" si="4"/>
        <v>12</v>
      </c>
      <c r="Q20" s="133">
        <f t="shared" si="5"/>
        <v>70</v>
      </c>
      <c r="R20" s="134">
        <f t="shared" si="6"/>
        <v>21</v>
      </c>
      <c r="S20" s="172">
        <v>70</v>
      </c>
      <c r="T20" s="134">
        <f t="shared" si="7"/>
        <v>93.75</v>
      </c>
      <c r="U20" s="166">
        <f t="shared" si="8"/>
        <v>46.875</v>
      </c>
      <c r="V20" s="131">
        <f t="shared" si="9"/>
        <v>85.708333333333329</v>
      </c>
      <c r="W20" s="167" t="str">
        <f t="shared" si="24"/>
        <v>PASSED</v>
      </c>
      <c r="Z20" s="34">
        <v>3</v>
      </c>
      <c r="AA20" s="35">
        <v>3</v>
      </c>
      <c r="AB20" s="19">
        <v>0</v>
      </c>
      <c r="AC20" s="19">
        <v>3</v>
      </c>
      <c r="AD20" s="19"/>
      <c r="AE20" s="108"/>
      <c r="AF20" s="111">
        <f t="shared" si="10"/>
        <v>9</v>
      </c>
      <c r="AG20" s="137">
        <f t="shared" si="11"/>
        <v>87.5</v>
      </c>
      <c r="AH20" s="137">
        <f t="shared" si="12"/>
        <v>8.75</v>
      </c>
      <c r="AI20" s="37">
        <v>90</v>
      </c>
      <c r="AJ20" s="19">
        <v>100</v>
      </c>
      <c r="AK20" s="19"/>
      <c r="AL20" s="19"/>
      <c r="AM20" s="19"/>
      <c r="AN20" s="108"/>
      <c r="AO20" s="111">
        <f t="shared" si="13"/>
        <v>190</v>
      </c>
      <c r="AP20" s="137">
        <f t="shared" si="14"/>
        <v>97.5</v>
      </c>
      <c r="AQ20" s="137">
        <f t="shared" si="15"/>
        <v>39</v>
      </c>
      <c r="AR20" s="36">
        <v>90</v>
      </c>
      <c r="AS20" s="107"/>
      <c r="AT20" s="111">
        <f t="shared" si="16"/>
        <v>90</v>
      </c>
      <c r="AU20" s="137">
        <f t="shared" si="17"/>
        <v>95</v>
      </c>
      <c r="AV20" s="137">
        <f t="shared" si="18"/>
        <v>47.5</v>
      </c>
      <c r="AW20" s="140">
        <f t="shared" si="25"/>
        <v>95.25</v>
      </c>
      <c r="AX20" s="114" t="str">
        <f t="shared" si="26"/>
        <v>PASSED</v>
      </c>
      <c r="AZ20" s="143">
        <f t="shared" si="19"/>
        <v>51.424999999999997</v>
      </c>
      <c r="BA20" s="146">
        <f t="shared" si="20"/>
        <v>38.1</v>
      </c>
      <c r="BB20" s="145">
        <f t="shared" si="21"/>
        <v>89.525000000000006</v>
      </c>
      <c r="BC20" s="117" t="str">
        <f t="shared" si="22"/>
        <v>PASSED</v>
      </c>
    </row>
    <row r="21" spans="1:55" ht="16.8" thickTop="1" thickBot="1" x14ac:dyDescent="0.35">
      <c r="A21" s="19">
        <f>Attendance!A19</f>
        <v>12</v>
      </c>
      <c r="B21" s="20" t="str">
        <f>Attendance!B19</f>
        <v>Benig, Timothy Jade Crave</v>
      </c>
      <c r="C21" s="160">
        <f>Attendance!AD19</f>
        <v>4</v>
      </c>
      <c r="D21" s="135">
        <f t="shared" si="0"/>
        <v>56.666666666666664</v>
      </c>
      <c r="E21" s="134">
        <f t="shared" si="1"/>
        <v>2.8333333333333335</v>
      </c>
      <c r="F21" s="168">
        <v>50</v>
      </c>
      <c r="G21" s="169"/>
      <c r="H21" s="170"/>
      <c r="I21" s="151">
        <f t="shared" si="23"/>
        <v>50</v>
      </c>
      <c r="J21" s="152">
        <f t="shared" si="2"/>
        <v>100</v>
      </c>
      <c r="K21" s="151">
        <f t="shared" si="3"/>
        <v>15</v>
      </c>
      <c r="L21" s="171">
        <v>0</v>
      </c>
      <c r="M21" s="169">
        <v>13</v>
      </c>
      <c r="N21" s="169"/>
      <c r="O21" s="170"/>
      <c r="P21" s="134">
        <f t="shared" si="4"/>
        <v>13</v>
      </c>
      <c r="Q21" s="133">
        <f t="shared" si="5"/>
        <v>71.666666666666671</v>
      </c>
      <c r="R21" s="134">
        <f t="shared" si="6"/>
        <v>21.5</v>
      </c>
      <c r="S21" s="172">
        <v>75</v>
      </c>
      <c r="T21" s="134">
        <f t="shared" si="7"/>
        <v>96.875</v>
      </c>
      <c r="U21" s="166">
        <f t="shared" si="8"/>
        <v>48.4375</v>
      </c>
      <c r="V21" s="131">
        <f t="shared" si="9"/>
        <v>87.770833333333329</v>
      </c>
      <c r="W21" s="167" t="str">
        <f t="shared" si="24"/>
        <v>PASSED</v>
      </c>
      <c r="Z21" s="34">
        <v>3</v>
      </c>
      <c r="AA21" s="35">
        <v>3</v>
      </c>
      <c r="AB21" s="19">
        <v>0</v>
      </c>
      <c r="AC21" s="19">
        <v>3</v>
      </c>
      <c r="AD21" s="19"/>
      <c r="AE21" s="108"/>
      <c r="AF21" s="111">
        <f t="shared" si="10"/>
        <v>9</v>
      </c>
      <c r="AG21" s="137">
        <f t="shared" si="11"/>
        <v>87.5</v>
      </c>
      <c r="AH21" s="137">
        <f t="shared" si="12"/>
        <v>8.75</v>
      </c>
      <c r="AI21" s="37">
        <v>100</v>
      </c>
      <c r="AJ21" s="19">
        <v>80</v>
      </c>
      <c r="AK21" s="19"/>
      <c r="AL21" s="19"/>
      <c r="AM21" s="19"/>
      <c r="AN21" s="108"/>
      <c r="AO21" s="111">
        <f t="shared" si="13"/>
        <v>180</v>
      </c>
      <c r="AP21" s="137">
        <f t="shared" si="14"/>
        <v>95</v>
      </c>
      <c r="AQ21" s="137">
        <f t="shared" si="15"/>
        <v>38</v>
      </c>
      <c r="AR21" s="36">
        <v>90</v>
      </c>
      <c r="AS21" s="107"/>
      <c r="AT21" s="111">
        <f t="shared" si="16"/>
        <v>90</v>
      </c>
      <c r="AU21" s="137">
        <f t="shared" si="17"/>
        <v>95</v>
      </c>
      <c r="AV21" s="137">
        <f t="shared" si="18"/>
        <v>47.5</v>
      </c>
      <c r="AW21" s="139">
        <f t="shared" si="25"/>
        <v>94.25</v>
      </c>
      <c r="AX21" s="113" t="str">
        <f t="shared" si="26"/>
        <v>PASSED</v>
      </c>
      <c r="AZ21" s="143">
        <f t="shared" si="19"/>
        <v>52.662499999999994</v>
      </c>
      <c r="BA21" s="146">
        <f t="shared" si="20"/>
        <v>37.700000000000003</v>
      </c>
      <c r="BB21" s="145">
        <f t="shared" si="21"/>
        <v>90.362499999999997</v>
      </c>
      <c r="BC21" s="117" t="str">
        <f t="shared" si="22"/>
        <v>PASSED</v>
      </c>
    </row>
    <row r="22" spans="1:55" ht="16.8" thickTop="1" thickBot="1" x14ac:dyDescent="0.35">
      <c r="A22" s="19">
        <f>Attendance!A20</f>
        <v>13</v>
      </c>
      <c r="B22" s="20" t="str">
        <f>Attendance!B20</f>
        <v>Bolambao, Elaiza Claire Umbay</v>
      </c>
      <c r="C22" s="160">
        <f>Attendance!AD20</f>
        <v>10</v>
      </c>
      <c r="D22" s="135">
        <f t="shared" si="0"/>
        <v>66.666666666666657</v>
      </c>
      <c r="E22" s="134">
        <f t="shared" si="1"/>
        <v>3.333333333333333</v>
      </c>
      <c r="F22" s="168">
        <v>50</v>
      </c>
      <c r="G22" s="169"/>
      <c r="H22" s="170"/>
      <c r="I22" s="151">
        <f t="shared" si="23"/>
        <v>50</v>
      </c>
      <c r="J22" s="152">
        <f t="shared" si="2"/>
        <v>100</v>
      </c>
      <c r="K22" s="151">
        <f t="shared" si="3"/>
        <v>15</v>
      </c>
      <c r="L22" s="171">
        <v>13</v>
      </c>
      <c r="M22" s="169">
        <v>13</v>
      </c>
      <c r="N22" s="169"/>
      <c r="O22" s="170"/>
      <c r="P22" s="134">
        <f t="shared" si="4"/>
        <v>26</v>
      </c>
      <c r="Q22" s="133">
        <f t="shared" si="5"/>
        <v>93.333333333333343</v>
      </c>
      <c r="R22" s="134">
        <f t="shared" si="6"/>
        <v>28.000000000000004</v>
      </c>
      <c r="S22" s="172">
        <v>62</v>
      </c>
      <c r="T22" s="134">
        <f t="shared" si="7"/>
        <v>88.75</v>
      </c>
      <c r="U22" s="166">
        <f t="shared" si="8"/>
        <v>44.375</v>
      </c>
      <c r="V22" s="131">
        <f t="shared" si="9"/>
        <v>90.708333333333329</v>
      </c>
      <c r="W22" s="167" t="str">
        <f t="shared" si="24"/>
        <v>PASSED</v>
      </c>
      <c r="Z22" s="34">
        <v>3</v>
      </c>
      <c r="AA22" s="35">
        <v>3</v>
      </c>
      <c r="AB22" s="19">
        <v>3</v>
      </c>
      <c r="AC22" s="19">
        <v>3</v>
      </c>
      <c r="AD22" s="19"/>
      <c r="AE22" s="108"/>
      <c r="AF22" s="111">
        <f t="shared" si="10"/>
        <v>12</v>
      </c>
      <c r="AG22" s="137">
        <f t="shared" si="11"/>
        <v>100</v>
      </c>
      <c r="AH22" s="137">
        <f t="shared" si="12"/>
        <v>10</v>
      </c>
      <c r="AI22" s="37">
        <v>100</v>
      </c>
      <c r="AJ22" s="19">
        <v>95</v>
      </c>
      <c r="AK22" s="19"/>
      <c r="AL22" s="19"/>
      <c r="AM22" s="19"/>
      <c r="AN22" s="108"/>
      <c r="AO22" s="111">
        <f t="shared" si="13"/>
        <v>195</v>
      </c>
      <c r="AP22" s="137">
        <f t="shared" si="14"/>
        <v>98.75</v>
      </c>
      <c r="AQ22" s="137">
        <f t="shared" si="15"/>
        <v>39.5</v>
      </c>
      <c r="AR22" s="36">
        <v>90</v>
      </c>
      <c r="AS22" s="107"/>
      <c r="AT22" s="111">
        <f t="shared" si="16"/>
        <v>90</v>
      </c>
      <c r="AU22" s="137">
        <f t="shared" si="17"/>
        <v>95</v>
      </c>
      <c r="AV22" s="137">
        <f t="shared" si="18"/>
        <v>47.5</v>
      </c>
      <c r="AW22" s="140">
        <f t="shared" si="25"/>
        <v>97</v>
      </c>
      <c r="AX22" s="114" t="str">
        <f t="shared" si="26"/>
        <v>PASSED</v>
      </c>
      <c r="AZ22" s="143">
        <f t="shared" si="19"/>
        <v>54.424999999999997</v>
      </c>
      <c r="BA22" s="146">
        <f t="shared" si="20"/>
        <v>38.800000000000004</v>
      </c>
      <c r="BB22" s="145">
        <f t="shared" si="21"/>
        <v>93.224999999999994</v>
      </c>
      <c r="BC22" s="117" t="str">
        <f t="shared" si="22"/>
        <v>PASSED</v>
      </c>
    </row>
    <row r="23" spans="1:55" ht="16.8" thickTop="1" thickBot="1" x14ac:dyDescent="0.35">
      <c r="A23" s="19">
        <f>Attendance!A21</f>
        <v>14</v>
      </c>
      <c r="B23" s="20" t="str">
        <f>Attendance!B21</f>
        <v>Bulado, Dexter Camillo</v>
      </c>
      <c r="C23" s="160">
        <f>Attendance!AD21</f>
        <v>7</v>
      </c>
      <c r="D23" s="135">
        <f t="shared" si="0"/>
        <v>61.666666666666664</v>
      </c>
      <c r="E23" s="134">
        <f t="shared" si="1"/>
        <v>3.0833333333333335</v>
      </c>
      <c r="F23" s="168">
        <v>10</v>
      </c>
      <c r="G23" s="169"/>
      <c r="H23" s="170"/>
      <c r="I23" s="151">
        <f t="shared" si="23"/>
        <v>10</v>
      </c>
      <c r="J23" s="152">
        <f t="shared" si="2"/>
        <v>60</v>
      </c>
      <c r="K23" s="151">
        <f t="shared" si="3"/>
        <v>9</v>
      </c>
      <c r="L23" s="171">
        <v>0</v>
      </c>
      <c r="M23" s="169">
        <v>13</v>
      </c>
      <c r="N23" s="169"/>
      <c r="O23" s="170"/>
      <c r="P23" s="134">
        <f t="shared" si="4"/>
        <v>13</v>
      </c>
      <c r="Q23" s="133">
        <f t="shared" si="5"/>
        <v>71.666666666666671</v>
      </c>
      <c r="R23" s="134">
        <f t="shared" si="6"/>
        <v>21.5</v>
      </c>
      <c r="S23" s="172">
        <v>62</v>
      </c>
      <c r="T23" s="134">
        <f t="shared" si="7"/>
        <v>88.75</v>
      </c>
      <c r="U23" s="166">
        <f t="shared" si="8"/>
        <v>44.375</v>
      </c>
      <c r="V23" s="131">
        <f t="shared" si="9"/>
        <v>77.958333333333329</v>
      </c>
      <c r="W23" s="167" t="str">
        <f t="shared" si="24"/>
        <v>PASSED</v>
      </c>
      <c r="Z23" s="34">
        <v>3</v>
      </c>
      <c r="AA23" s="35">
        <v>3</v>
      </c>
      <c r="AB23" s="19">
        <v>0</v>
      </c>
      <c r="AC23" s="19">
        <v>3</v>
      </c>
      <c r="AD23" s="19"/>
      <c r="AE23" s="108"/>
      <c r="AF23" s="111">
        <f t="shared" si="10"/>
        <v>9</v>
      </c>
      <c r="AG23" s="137">
        <f t="shared" si="11"/>
        <v>87.5</v>
      </c>
      <c r="AH23" s="137">
        <f t="shared" si="12"/>
        <v>8.75</v>
      </c>
      <c r="AI23" s="37">
        <v>0</v>
      </c>
      <c r="AJ23" s="19">
        <v>100</v>
      </c>
      <c r="AK23" s="19"/>
      <c r="AL23" s="19"/>
      <c r="AM23" s="19"/>
      <c r="AN23" s="108"/>
      <c r="AO23" s="111">
        <f t="shared" si="13"/>
        <v>100</v>
      </c>
      <c r="AP23" s="137">
        <f t="shared" si="14"/>
        <v>75</v>
      </c>
      <c r="AQ23" s="137">
        <f t="shared" si="15"/>
        <v>30</v>
      </c>
      <c r="AR23" s="36">
        <v>50</v>
      </c>
      <c r="AS23" s="107"/>
      <c r="AT23" s="111">
        <f t="shared" si="16"/>
        <v>50</v>
      </c>
      <c r="AU23" s="137">
        <f t="shared" si="17"/>
        <v>75</v>
      </c>
      <c r="AV23" s="137">
        <f t="shared" si="18"/>
        <v>37.5</v>
      </c>
      <c r="AW23" s="139">
        <f t="shared" si="25"/>
        <v>76.25</v>
      </c>
      <c r="AX23" s="113" t="str">
        <f t="shared" si="26"/>
        <v>PASSED</v>
      </c>
      <c r="AZ23" s="143">
        <f t="shared" si="19"/>
        <v>46.774999999999999</v>
      </c>
      <c r="BA23" s="146">
        <f t="shared" si="20"/>
        <v>30.5</v>
      </c>
      <c r="BB23" s="145">
        <f t="shared" si="21"/>
        <v>77.275000000000006</v>
      </c>
      <c r="BC23" s="117" t="str">
        <f t="shared" si="22"/>
        <v>PASSED</v>
      </c>
    </row>
    <row r="24" spans="1:55" ht="16.8" thickTop="1" thickBot="1" x14ac:dyDescent="0.35">
      <c r="A24" s="19">
        <f>Attendance!A22</f>
        <v>15</v>
      </c>
      <c r="B24" s="20" t="str">
        <f>Attendance!B22</f>
        <v>Cagang, Anjune Carcueva</v>
      </c>
      <c r="C24" s="160">
        <f>Attendance!AD22</f>
        <v>10</v>
      </c>
      <c r="D24" s="135">
        <f t="shared" si="0"/>
        <v>66.666666666666657</v>
      </c>
      <c r="E24" s="134">
        <f t="shared" si="1"/>
        <v>3.333333333333333</v>
      </c>
      <c r="F24" s="168">
        <v>50</v>
      </c>
      <c r="G24" s="169"/>
      <c r="H24" s="170"/>
      <c r="I24" s="151">
        <f t="shared" si="23"/>
        <v>50</v>
      </c>
      <c r="J24" s="152">
        <f t="shared" si="2"/>
        <v>100</v>
      </c>
      <c r="K24" s="151">
        <f t="shared" si="3"/>
        <v>15</v>
      </c>
      <c r="L24" s="171">
        <v>11</v>
      </c>
      <c r="M24" s="169">
        <v>13</v>
      </c>
      <c r="N24" s="169"/>
      <c r="O24" s="170"/>
      <c r="P24" s="134">
        <f t="shared" si="4"/>
        <v>24</v>
      </c>
      <c r="Q24" s="133">
        <f t="shared" si="5"/>
        <v>90</v>
      </c>
      <c r="R24" s="134">
        <f t="shared" si="6"/>
        <v>27</v>
      </c>
      <c r="S24" s="172">
        <v>73</v>
      </c>
      <c r="T24" s="134">
        <f t="shared" si="7"/>
        <v>95.625</v>
      </c>
      <c r="U24" s="166">
        <f t="shared" si="8"/>
        <v>47.8125</v>
      </c>
      <c r="V24" s="131">
        <f t="shared" si="9"/>
        <v>93.145833333333329</v>
      </c>
      <c r="W24" s="167" t="str">
        <f t="shared" si="24"/>
        <v>PASSED</v>
      </c>
      <c r="Z24" s="34">
        <v>3</v>
      </c>
      <c r="AA24" s="35">
        <v>3</v>
      </c>
      <c r="AB24" s="19">
        <v>3</v>
      </c>
      <c r="AC24" s="19">
        <v>3</v>
      </c>
      <c r="AD24" s="19"/>
      <c r="AE24" s="108"/>
      <c r="AF24" s="111">
        <f t="shared" si="10"/>
        <v>12</v>
      </c>
      <c r="AG24" s="137">
        <f t="shared" si="11"/>
        <v>100</v>
      </c>
      <c r="AH24" s="137">
        <f t="shared" si="12"/>
        <v>10</v>
      </c>
      <c r="AI24" s="37">
        <v>100</v>
      </c>
      <c r="AJ24" s="19">
        <v>95</v>
      </c>
      <c r="AK24" s="19"/>
      <c r="AL24" s="19"/>
      <c r="AM24" s="19"/>
      <c r="AN24" s="108"/>
      <c r="AO24" s="111">
        <f t="shared" si="13"/>
        <v>195</v>
      </c>
      <c r="AP24" s="137">
        <f t="shared" si="14"/>
        <v>98.75</v>
      </c>
      <c r="AQ24" s="137">
        <f t="shared" si="15"/>
        <v>39.5</v>
      </c>
      <c r="AR24" s="36">
        <v>90</v>
      </c>
      <c r="AS24" s="107"/>
      <c r="AT24" s="111">
        <f t="shared" si="16"/>
        <v>90</v>
      </c>
      <c r="AU24" s="137">
        <f t="shared" si="17"/>
        <v>95</v>
      </c>
      <c r="AV24" s="137">
        <f t="shared" si="18"/>
        <v>47.5</v>
      </c>
      <c r="AW24" s="140">
        <f t="shared" si="25"/>
        <v>97</v>
      </c>
      <c r="AX24" s="114" t="str">
        <f t="shared" si="26"/>
        <v>PASSED</v>
      </c>
      <c r="AZ24" s="143">
        <f t="shared" si="19"/>
        <v>55.887499999999996</v>
      </c>
      <c r="BA24" s="146">
        <f t="shared" si="20"/>
        <v>38.800000000000004</v>
      </c>
      <c r="BB24" s="145">
        <f t="shared" si="21"/>
        <v>94.6875</v>
      </c>
      <c r="BC24" s="117" t="str">
        <f t="shared" si="22"/>
        <v>PASSED</v>
      </c>
    </row>
    <row r="25" spans="1:55" ht="16.8" thickTop="1" thickBot="1" x14ac:dyDescent="0.35">
      <c r="A25" s="19">
        <f>Attendance!A23</f>
        <v>16</v>
      </c>
      <c r="B25" s="20" t="str">
        <f>Attendance!B23</f>
        <v>Datuin, Francis Carl Mag-aso</v>
      </c>
      <c r="C25" s="160">
        <f>Attendance!AD23</f>
        <v>6</v>
      </c>
      <c r="D25" s="135">
        <f t="shared" si="0"/>
        <v>60</v>
      </c>
      <c r="E25" s="134">
        <f t="shared" si="1"/>
        <v>3</v>
      </c>
      <c r="F25" s="168">
        <v>50</v>
      </c>
      <c r="G25" s="169"/>
      <c r="H25" s="170"/>
      <c r="I25" s="151">
        <f t="shared" si="23"/>
        <v>50</v>
      </c>
      <c r="J25" s="152">
        <f t="shared" si="2"/>
        <v>100</v>
      </c>
      <c r="K25" s="151">
        <f t="shared" si="3"/>
        <v>15</v>
      </c>
      <c r="L25" s="171">
        <v>0</v>
      </c>
      <c r="M25" s="169">
        <v>12</v>
      </c>
      <c r="N25" s="169"/>
      <c r="O25" s="170"/>
      <c r="P25" s="134">
        <f t="shared" si="4"/>
        <v>12</v>
      </c>
      <c r="Q25" s="133">
        <f t="shared" si="5"/>
        <v>70</v>
      </c>
      <c r="R25" s="134">
        <f t="shared" si="6"/>
        <v>21</v>
      </c>
      <c r="S25" s="172">
        <v>43</v>
      </c>
      <c r="T25" s="134">
        <f t="shared" si="7"/>
        <v>76.875</v>
      </c>
      <c r="U25" s="166">
        <f t="shared" si="8"/>
        <v>38.4375</v>
      </c>
      <c r="V25" s="131">
        <f t="shared" si="9"/>
        <v>77.4375</v>
      </c>
      <c r="W25" s="167" t="str">
        <f t="shared" si="24"/>
        <v>PASSED</v>
      </c>
      <c r="Z25" s="34">
        <v>3</v>
      </c>
      <c r="AA25" s="35">
        <v>3</v>
      </c>
      <c r="AB25" s="19">
        <v>0</v>
      </c>
      <c r="AC25" s="19">
        <v>3</v>
      </c>
      <c r="AD25" s="19"/>
      <c r="AE25" s="108"/>
      <c r="AF25" s="111">
        <f t="shared" si="10"/>
        <v>9</v>
      </c>
      <c r="AG25" s="137">
        <f t="shared" si="11"/>
        <v>87.5</v>
      </c>
      <c r="AH25" s="137">
        <f t="shared" si="12"/>
        <v>8.75</v>
      </c>
      <c r="AI25" s="37">
        <v>90</v>
      </c>
      <c r="AJ25" s="19">
        <v>100</v>
      </c>
      <c r="AK25" s="19"/>
      <c r="AL25" s="19"/>
      <c r="AM25" s="19"/>
      <c r="AN25" s="108"/>
      <c r="AO25" s="111">
        <f t="shared" si="13"/>
        <v>190</v>
      </c>
      <c r="AP25" s="137">
        <f t="shared" si="14"/>
        <v>97.5</v>
      </c>
      <c r="AQ25" s="137">
        <f t="shared" si="15"/>
        <v>39</v>
      </c>
      <c r="AR25" s="36">
        <v>90</v>
      </c>
      <c r="AS25" s="107"/>
      <c r="AT25" s="111">
        <f t="shared" si="16"/>
        <v>90</v>
      </c>
      <c r="AU25" s="137">
        <f t="shared" si="17"/>
        <v>95</v>
      </c>
      <c r="AV25" s="137">
        <f t="shared" si="18"/>
        <v>47.5</v>
      </c>
      <c r="AW25" s="139">
        <f t="shared" si="25"/>
        <v>95.25</v>
      </c>
      <c r="AX25" s="113" t="str">
        <f t="shared" si="26"/>
        <v>PASSED</v>
      </c>
      <c r="AZ25" s="143">
        <f t="shared" si="19"/>
        <v>46.462499999999999</v>
      </c>
      <c r="BA25" s="146">
        <f t="shared" si="20"/>
        <v>38.1</v>
      </c>
      <c r="BB25" s="145">
        <f t="shared" si="21"/>
        <v>84.5625</v>
      </c>
      <c r="BC25" s="117" t="str">
        <f t="shared" si="22"/>
        <v>PASSED</v>
      </c>
    </row>
    <row r="26" spans="1:55" ht="16.8" thickTop="1" thickBot="1" x14ac:dyDescent="0.35">
      <c r="A26" s="19">
        <f>Attendance!A24</f>
        <v>17</v>
      </c>
      <c r="B26" s="20" t="str">
        <f>Attendance!B24</f>
        <v>Detoperez, Knytz Panizales</v>
      </c>
      <c r="C26" s="160">
        <f>Attendance!AD24</f>
        <v>9</v>
      </c>
      <c r="D26" s="135">
        <f t="shared" si="0"/>
        <v>65</v>
      </c>
      <c r="E26" s="134">
        <f t="shared" si="1"/>
        <v>3.25</v>
      </c>
      <c r="F26" s="168">
        <v>50</v>
      </c>
      <c r="G26" s="169"/>
      <c r="H26" s="170"/>
      <c r="I26" s="151">
        <f t="shared" si="23"/>
        <v>50</v>
      </c>
      <c r="J26" s="152">
        <f t="shared" si="2"/>
        <v>100</v>
      </c>
      <c r="K26" s="151">
        <f t="shared" si="3"/>
        <v>15</v>
      </c>
      <c r="L26" s="171">
        <v>0</v>
      </c>
      <c r="M26" s="169">
        <v>14</v>
      </c>
      <c r="N26" s="169"/>
      <c r="O26" s="170"/>
      <c r="P26" s="134">
        <f t="shared" si="4"/>
        <v>14</v>
      </c>
      <c r="Q26" s="133">
        <f t="shared" si="5"/>
        <v>73.333333333333329</v>
      </c>
      <c r="R26" s="134">
        <f t="shared" si="6"/>
        <v>21.999999999999996</v>
      </c>
      <c r="S26" s="172">
        <v>67</v>
      </c>
      <c r="T26" s="134">
        <f t="shared" si="7"/>
        <v>91.875</v>
      </c>
      <c r="U26" s="166">
        <f t="shared" si="8"/>
        <v>45.9375</v>
      </c>
      <c r="V26" s="131">
        <f t="shared" si="9"/>
        <v>86.1875</v>
      </c>
      <c r="W26" s="167" t="str">
        <f t="shared" si="24"/>
        <v>PASSED</v>
      </c>
      <c r="Z26" s="34">
        <v>3</v>
      </c>
      <c r="AA26" s="35">
        <v>3</v>
      </c>
      <c r="AB26" s="19">
        <v>0</v>
      </c>
      <c r="AC26" s="19">
        <v>3</v>
      </c>
      <c r="AD26" s="19"/>
      <c r="AE26" s="108"/>
      <c r="AF26" s="111">
        <f t="shared" si="10"/>
        <v>9</v>
      </c>
      <c r="AG26" s="137">
        <f t="shared" si="11"/>
        <v>87.5</v>
      </c>
      <c r="AH26" s="137">
        <f t="shared" si="12"/>
        <v>8.75</v>
      </c>
      <c r="AI26" s="37">
        <v>0</v>
      </c>
      <c r="AJ26" s="19">
        <v>100</v>
      </c>
      <c r="AK26" s="19"/>
      <c r="AL26" s="19"/>
      <c r="AM26" s="19"/>
      <c r="AN26" s="108"/>
      <c r="AO26" s="111">
        <f t="shared" si="13"/>
        <v>100</v>
      </c>
      <c r="AP26" s="137">
        <f t="shared" si="14"/>
        <v>75</v>
      </c>
      <c r="AQ26" s="137">
        <f t="shared" si="15"/>
        <v>30</v>
      </c>
      <c r="AR26" s="36">
        <v>50</v>
      </c>
      <c r="AS26" s="107"/>
      <c r="AT26" s="111">
        <f t="shared" si="16"/>
        <v>50</v>
      </c>
      <c r="AU26" s="137">
        <f t="shared" si="17"/>
        <v>75</v>
      </c>
      <c r="AV26" s="137">
        <f t="shared" si="18"/>
        <v>37.5</v>
      </c>
      <c r="AW26" s="140">
        <f t="shared" si="25"/>
        <v>76.25</v>
      </c>
      <c r="AX26" s="114" t="str">
        <f t="shared" si="26"/>
        <v>PASSED</v>
      </c>
      <c r="AZ26" s="143">
        <f t="shared" si="19"/>
        <v>51.712499999999999</v>
      </c>
      <c r="BA26" s="146">
        <f t="shared" si="20"/>
        <v>30.5</v>
      </c>
      <c r="BB26" s="145">
        <f t="shared" si="21"/>
        <v>82.212500000000006</v>
      </c>
      <c r="BC26" s="117" t="str">
        <f t="shared" si="22"/>
        <v>PASSED</v>
      </c>
    </row>
    <row r="27" spans="1:55" ht="16.8" thickTop="1" thickBot="1" x14ac:dyDescent="0.35">
      <c r="A27" s="19">
        <f>Attendance!A25</f>
        <v>18</v>
      </c>
      <c r="B27" s="20" t="str">
        <f>Attendance!B25</f>
        <v>Dilanggalen, Hanz Amher Rollo</v>
      </c>
      <c r="C27" s="160">
        <f>Attendance!AD25</f>
        <v>9</v>
      </c>
      <c r="D27" s="135">
        <f t="shared" si="0"/>
        <v>65</v>
      </c>
      <c r="E27" s="134">
        <f t="shared" si="1"/>
        <v>3.25</v>
      </c>
      <c r="F27" s="168">
        <v>50</v>
      </c>
      <c r="G27" s="169"/>
      <c r="H27" s="170"/>
      <c r="I27" s="151">
        <f t="shared" si="23"/>
        <v>50</v>
      </c>
      <c r="J27" s="152">
        <f t="shared" si="2"/>
        <v>100</v>
      </c>
      <c r="K27" s="151">
        <f t="shared" si="3"/>
        <v>15</v>
      </c>
      <c r="L27" s="171">
        <v>12</v>
      </c>
      <c r="M27" s="169">
        <v>13</v>
      </c>
      <c r="N27" s="169"/>
      <c r="O27" s="170"/>
      <c r="P27" s="134">
        <f t="shared" si="4"/>
        <v>25</v>
      </c>
      <c r="Q27" s="133">
        <f t="shared" si="5"/>
        <v>91.666666666666671</v>
      </c>
      <c r="R27" s="134">
        <f t="shared" si="6"/>
        <v>27.5</v>
      </c>
      <c r="S27" s="172">
        <v>67</v>
      </c>
      <c r="T27" s="134">
        <f t="shared" si="7"/>
        <v>91.875</v>
      </c>
      <c r="U27" s="166">
        <f t="shared" si="8"/>
        <v>45.9375</v>
      </c>
      <c r="V27" s="131">
        <f t="shared" si="9"/>
        <v>91.6875</v>
      </c>
      <c r="W27" s="167" t="str">
        <f t="shared" si="24"/>
        <v>PASSED</v>
      </c>
      <c r="Z27" s="34">
        <v>3</v>
      </c>
      <c r="AA27" s="35">
        <v>3</v>
      </c>
      <c r="AB27" s="19">
        <v>3</v>
      </c>
      <c r="AC27" s="19">
        <v>3</v>
      </c>
      <c r="AD27" s="19"/>
      <c r="AE27" s="108"/>
      <c r="AF27" s="111">
        <f t="shared" si="10"/>
        <v>12</v>
      </c>
      <c r="AG27" s="137">
        <f t="shared" si="11"/>
        <v>100</v>
      </c>
      <c r="AH27" s="137">
        <f t="shared" si="12"/>
        <v>10</v>
      </c>
      <c r="AI27" s="37">
        <v>100</v>
      </c>
      <c r="AJ27" s="19">
        <v>95</v>
      </c>
      <c r="AK27" s="19"/>
      <c r="AL27" s="19"/>
      <c r="AM27" s="19"/>
      <c r="AN27" s="108"/>
      <c r="AO27" s="111">
        <f t="shared" si="13"/>
        <v>195</v>
      </c>
      <c r="AP27" s="137">
        <f t="shared" si="14"/>
        <v>98.75</v>
      </c>
      <c r="AQ27" s="137">
        <f t="shared" si="15"/>
        <v>39.5</v>
      </c>
      <c r="AR27" s="36">
        <v>90</v>
      </c>
      <c r="AS27" s="107"/>
      <c r="AT27" s="111">
        <f t="shared" si="16"/>
        <v>90</v>
      </c>
      <c r="AU27" s="137">
        <f t="shared" si="17"/>
        <v>95</v>
      </c>
      <c r="AV27" s="137">
        <f t="shared" si="18"/>
        <v>47.5</v>
      </c>
      <c r="AW27" s="139">
        <f t="shared" si="25"/>
        <v>97</v>
      </c>
      <c r="AX27" s="113" t="str">
        <f t="shared" si="26"/>
        <v>PASSED</v>
      </c>
      <c r="AZ27" s="143">
        <f t="shared" si="19"/>
        <v>55.012499999999996</v>
      </c>
      <c r="BA27" s="146">
        <f t="shared" si="20"/>
        <v>38.800000000000004</v>
      </c>
      <c r="BB27" s="145">
        <f t="shared" si="21"/>
        <v>93.8125</v>
      </c>
      <c r="BC27" s="117" t="str">
        <f t="shared" si="22"/>
        <v>PASSED</v>
      </c>
    </row>
    <row r="28" spans="1:55" ht="16.8" thickTop="1" thickBot="1" x14ac:dyDescent="0.35">
      <c r="A28" s="19">
        <f>Attendance!A26</f>
        <v>19</v>
      </c>
      <c r="B28" s="20" t="str">
        <f>Attendance!B26</f>
        <v>Domingo, Arsenio Jr. Dioleste</v>
      </c>
      <c r="C28" s="160">
        <f>Attendance!AD26</f>
        <v>10</v>
      </c>
      <c r="D28" s="135">
        <f t="shared" si="0"/>
        <v>66.666666666666657</v>
      </c>
      <c r="E28" s="134">
        <f t="shared" si="1"/>
        <v>3.333333333333333</v>
      </c>
      <c r="F28" s="168">
        <v>50</v>
      </c>
      <c r="G28" s="169"/>
      <c r="H28" s="170"/>
      <c r="I28" s="151">
        <f t="shared" si="23"/>
        <v>50</v>
      </c>
      <c r="J28" s="152">
        <f t="shared" si="2"/>
        <v>100</v>
      </c>
      <c r="K28" s="151">
        <f t="shared" si="3"/>
        <v>15</v>
      </c>
      <c r="L28" s="171">
        <v>12</v>
      </c>
      <c r="M28" s="169">
        <v>15</v>
      </c>
      <c r="N28" s="169"/>
      <c r="O28" s="170"/>
      <c r="P28" s="134">
        <f t="shared" si="4"/>
        <v>27</v>
      </c>
      <c r="Q28" s="133">
        <f t="shared" si="5"/>
        <v>95</v>
      </c>
      <c r="R28" s="134">
        <f t="shared" si="6"/>
        <v>28.5</v>
      </c>
      <c r="S28" s="172">
        <v>68</v>
      </c>
      <c r="T28" s="134">
        <f t="shared" si="7"/>
        <v>92.5</v>
      </c>
      <c r="U28" s="166">
        <f t="shared" si="8"/>
        <v>46.25</v>
      </c>
      <c r="V28" s="131">
        <f t="shared" si="9"/>
        <v>93.083333333333329</v>
      </c>
      <c r="W28" s="167" t="str">
        <f t="shared" si="24"/>
        <v>PASSED</v>
      </c>
      <c r="Z28" s="34">
        <v>3</v>
      </c>
      <c r="AA28" s="35">
        <v>3</v>
      </c>
      <c r="AB28" s="19">
        <v>3</v>
      </c>
      <c r="AC28" s="19">
        <v>3</v>
      </c>
      <c r="AD28" s="19"/>
      <c r="AE28" s="108"/>
      <c r="AF28" s="111">
        <f t="shared" si="10"/>
        <v>12</v>
      </c>
      <c r="AG28" s="137">
        <f t="shared" si="11"/>
        <v>100</v>
      </c>
      <c r="AH28" s="137">
        <f t="shared" si="12"/>
        <v>10</v>
      </c>
      <c r="AI28" s="37">
        <v>100</v>
      </c>
      <c r="AJ28" s="19">
        <v>95</v>
      </c>
      <c r="AK28" s="19"/>
      <c r="AL28" s="19"/>
      <c r="AM28" s="19"/>
      <c r="AN28" s="108"/>
      <c r="AO28" s="111">
        <f t="shared" si="13"/>
        <v>195</v>
      </c>
      <c r="AP28" s="137">
        <f t="shared" si="14"/>
        <v>98.75</v>
      </c>
      <c r="AQ28" s="137">
        <f t="shared" si="15"/>
        <v>39.5</v>
      </c>
      <c r="AR28" s="36">
        <v>90</v>
      </c>
      <c r="AS28" s="107"/>
      <c r="AT28" s="111">
        <f t="shared" si="16"/>
        <v>90</v>
      </c>
      <c r="AU28" s="137">
        <f t="shared" si="17"/>
        <v>95</v>
      </c>
      <c r="AV28" s="137">
        <f t="shared" si="18"/>
        <v>47.5</v>
      </c>
      <c r="AW28" s="140">
        <f t="shared" si="25"/>
        <v>97</v>
      </c>
      <c r="AX28" s="114" t="str">
        <f t="shared" si="26"/>
        <v>PASSED</v>
      </c>
      <c r="AZ28" s="143">
        <f t="shared" si="19"/>
        <v>55.849999999999994</v>
      </c>
      <c r="BA28" s="146">
        <f t="shared" si="20"/>
        <v>38.800000000000004</v>
      </c>
      <c r="BB28" s="145">
        <f t="shared" si="21"/>
        <v>94.65</v>
      </c>
      <c r="BC28" s="117" t="str">
        <f t="shared" si="22"/>
        <v>PASSED</v>
      </c>
    </row>
    <row r="29" spans="1:55" ht="16.8" thickTop="1" thickBot="1" x14ac:dyDescent="0.35">
      <c r="A29" s="19">
        <f>Attendance!A27</f>
        <v>20</v>
      </c>
      <c r="B29" s="20" t="str">
        <f>Attendance!B27</f>
        <v>Donque, Princess Althea Cabalud</v>
      </c>
      <c r="C29" s="160">
        <f>Attendance!AD27</f>
        <v>10</v>
      </c>
      <c r="D29" s="135">
        <f t="shared" si="0"/>
        <v>66.666666666666657</v>
      </c>
      <c r="E29" s="134">
        <f t="shared" si="1"/>
        <v>3.333333333333333</v>
      </c>
      <c r="F29" s="168">
        <v>50</v>
      </c>
      <c r="G29" s="169"/>
      <c r="H29" s="170"/>
      <c r="I29" s="151">
        <f t="shared" si="23"/>
        <v>50</v>
      </c>
      <c r="J29" s="152">
        <f t="shared" si="2"/>
        <v>100</v>
      </c>
      <c r="K29" s="151">
        <f t="shared" si="3"/>
        <v>15</v>
      </c>
      <c r="L29" s="171">
        <v>14</v>
      </c>
      <c r="M29" s="169">
        <v>15</v>
      </c>
      <c r="N29" s="169"/>
      <c r="O29" s="170"/>
      <c r="P29" s="134">
        <f t="shared" si="4"/>
        <v>29</v>
      </c>
      <c r="Q29" s="133">
        <f t="shared" si="5"/>
        <v>98.333333333333343</v>
      </c>
      <c r="R29" s="134">
        <f t="shared" si="6"/>
        <v>29.5</v>
      </c>
      <c r="S29" s="172">
        <v>78</v>
      </c>
      <c r="T29" s="134">
        <f t="shared" si="7"/>
        <v>98.75</v>
      </c>
      <c r="U29" s="166">
        <f t="shared" si="8"/>
        <v>49.375</v>
      </c>
      <c r="V29" s="131">
        <f t="shared" si="9"/>
        <v>97.208333333333329</v>
      </c>
      <c r="W29" s="167" t="str">
        <f t="shared" si="24"/>
        <v>PASSED</v>
      </c>
      <c r="Z29" s="34">
        <v>3</v>
      </c>
      <c r="AA29" s="35">
        <v>3</v>
      </c>
      <c r="AB29" s="19">
        <v>3</v>
      </c>
      <c r="AC29" s="19">
        <v>3</v>
      </c>
      <c r="AD29" s="19"/>
      <c r="AE29" s="108"/>
      <c r="AF29" s="111">
        <f t="shared" si="10"/>
        <v>12</v>
      </c>
      <c r="AG29" s="137">
        <f t="shared" si="11"/>
        <v>100</v>
      </c>
      <c r="AH29" s="137">
        <f t="shared" si="12"/>
        <v>10</v>
      </c>
      <c r="AI29" s="37">
        <v>100</v>
      </c>
      <c r="AJ29" s="19">
        <v>100</v>
      </c>
      <c r="AK29" s="19"/>
      <c r="AL29" s="19"/>
      <c r="AM29" s="19"/>
      <c r="AN29" s="108"/>
      <c r="AO29" s="111">
        <f t="shared" si="13"/>
        <v>200</v>
      </c>
      <c r="AP29" s="137">
        <f t="shared" si="14"/>
        <v>100</v>
      </c>
      <c r="AQ29" s="137">
        <f t="shared" si="15"/>
        <v>40</v>
      </c>
      <c r="AR29" s="36">
        <v>90</v>
      </c>
      <c r="AS29" s="107"/>
      <c r="AT29" s="111">
        <f t="shared" si="16"/>
        <v>90</v>
      </c>
      <c r="AU29" s="137">
        <f t="shared" si="17"/>
        <v>95</v>
      </c>
      <c r="AV29" s="137">
        <f t="shared" si="18"/>
        <v>47.5</v>
      </c>
      <c r="AW29" s="139">
        <f t="shared" si="25"/>
        <v>97.5</v>
      </c>
      <c r="AX29" s="113" t="str">
        <f t="shared" si="26"/>
        <v>PASSED</v>
      </c>
      <c r="AZ29" s="143">
        <f t="shared" si="19"/>
        <v>58.324999999999996</v>
      </c>
      <c r="BA29" s="146">
        <f t="shared" si="20"/>
        <v>39</v>
      </c>
      <c r="BB29" s="145">
        <f t="shared" si="21"/>
        <v>97.324999999999989</v>
      </c>
      <c r="BC29" s="117" t="str">
        <f t="shared" si="22"/>
        <v>PASSED</v>
      </c>
    </row>
    <row r="30" spans="1:55" ht="16.8" thickTop="1" thickBot="1" x14ac:dyDescent="0.35">
      <c r="A30" s="19">
        <f>Attendance!A28</f>
        <v>21</v>
      </c>
      <c r="B30" s="20" t="str">
        <f>Attendance!B28</f>
        <v>Duldulao, Clark Anthony Malasador</v>
      </c>
      <c r="C30" s="160">
        <f>Attendance!AD28</f>
        <v>9</v>
      </c>
      <c r="D30" s="135">
        <f t="shared" si="0"/>
        <v>65</v>
      </c>
      <c r="E30" s="134">
        <f t="shared" si="1"/>
        <v>3.25</v>
      </c>
      <c r="F30" s="168">
        <v>50</v>
      </c>
      <c r="G30" s="169"/>
      <c r="H30" s="170"/>
      <c r="I30" s="151">
        <f t="shared" si="23"/>
        <v>50</v>
      </c>
      <c r="J30" s="152">
        <f t="shared" si="2"/>
        <v>100</v>
      </c>
      <c r="K30" s="151">
        <f t="shared" si="3"/>
        <v>15</v>
      </c>
      <c r="L30" s="171">
        <v>0</v>
      </c>
      <c r="M30" s="169">
        <v>11</v>
      </c>
      <c r="N30" s="169"/>
      <c r="O30" s="170"/>
      <c r="P30" s="134">
        <f t="shared" si="4"/>
        <v>11</v>
      </c>
      <c r="Q30" s="133">
        <f t="shared" si="5"/>
        <v>68.333333333333329</v>
      </c>
      <c r="R30" s="134">
        <f t="shared" si="6"/>
        <v>20.499999999999996</v>
      </c>
      <c r="S30" s="172">
        <v>59</v>
      </c>
      <c r="T30" s="134">
        <f t="shared" si="7"/>
        <v>86.875</v>
      </c>
      <c r="U30" s="166">
        <f t="shared" si="8"/>
        <v>43.4375</v>
      </c>
      <c r="V30" s="131">
        <f t="shared" si="9"/>
        <v>82.1875</v>
      </c>
      <c r="W30" s="167" t="str">
        <f t="shared" si="24"/>
        <v>PASSED</v>
      </c>
      <c r="Z30" s="34">
        <v>3</v>
      </c>
      <c r="AA30" s="35">
        <v>3</v>
      </c>
      <c r="AB30" s="19">
        <v>0</v>
      </c>
      <c r="AC30" s="19">
        <v>3</v>
      </c>
      <c r="AD30" s="19"/>
      <c r="AE30" s="108"/>
      <c r="AF30" s="111">
        <f t="shared" si="10"/>
        <v>9</v>
      </c>
      <c r="AG30" s="137">
        <f t="shared" si="11"/>
        <v>87.5</v>
      </c>
      <c r="AH30" s="137">
        <f t="shared" si="12"/>
        <v>8.75</v>
      </c>
      <c r="AI30" s="37">
        <v>90</v>
      </c>
      <c r="AJ30" s="19">
        <v>95</v>
      </c>
      <c r="AK30" s="19"/>
      <c r="AL30" s="19"/>
      <c r="AM30" s="19"/>
      <c r="AN30" s="108"/>
      <c r="AO30" s="111">
        <f t="shared" si="13"/>
        <v>185</v>
      </c>
      <c r="AP30" s="137">
        <f t="shared" si="14"/>
        <v>96.25</v>
      </c>
      <c r="AQ30" s="137">
        <f t="shared" si="15"/>
        <v>38.5</v>
      </c>
      <c r="AR30" s="36">
        <v>90</v>
      </c>
      <c r="AS30" s="107"/>
      <c r="AT30" s="111">
        <f t="shared" si="16"/>
        <v>90</v>
      </c>
      <c r="AU30" s="137">
        <f t="shared" si="17"/>
        <v>95</v>
      </c>
      <c r="AV30" s="137">
        <f t="shared" si="18"/>
        <v>47.5</v>
      </c>
      <c r="AW30" s="140">
        <f t="shared" si="25"/>
        <v>94.75</v>
      </c>
      <c r="AX30" s="114" t="str">
        <f t="shared" si="26"/>
        <v>PASSED</v>
      </c>
      <c r="AZ30" s="143">
        <f t="shared" si="19"/>
        <v>49.3125</v>
      </c>
      <c r="BA30" s="146">
        <f t="shared" si="20"/>
        <v>37.9</v>
      </c>
      <c r="BB30" s="145">
        <f t="shared" si="21"/>
        <v>87.212500000000006</v>
      </c>
      <c r="BC30" s="117" t="str">
        <f t="shared" si="22"/>
        <v>PASSED</v>
      </c>
    </row>
    <row r="31" spans="1:55" ht="16.8" thickTop="1" thickBot="1" x14ac:dyDescent="0.35">
      <c r="A31" s="19">
        <f>Attendance!A29</f>
        <v>22</v>
      </c>
      <c r="B31" s="20" t="str">
        <f>Attendance!B29</f>
        <v>Estorpe, Marjun Gablines</v>
      </c>
      <c r="C31" s="160">
        <f>Attendance!AD29</f>
        <v>10</v>
      </c>
      <c r="D31" s="135">
        <f t="shared" si="0"/>
        <v>66.666666666666657</v>
      </c>
      <c r="E31" s="134">
        <f t="shared" si="1"/>
        <v>3.333333333333333</v>
      </c>
      <c r="F31" s="168">
        <v>50</v>
      </c>
      <c r="G31" s="169"/>
      <c r="H31" s="170"/>
      <c r="I31" s="151">
        <f t="shared" si="23"/>
        <v>50</v>
      </c>
      <c r="J31" s="152">
        <f t="shared" si="2"/>
        <v>100</v>
      </c>
      <c r="K31" s="151">
        <f t="shared" si="3"/>
        <v>15</v>
      </c>
      <c r="L31" s="171">
        <v>11</v>
      </c>
      <c r="M31" s="169">
        <v>14</v>
      </c>
      <c r="N31" s="169"/>
      <c r="O31" s="170"/>
      <c r="P31" s="134">
        <f t="shared" si="4"/>
        <v>25</v>
      </c>
      <c r="Q31" s="133">
        <f t="shared" si="5"/>
        <v>91.666666666666671</v>
      </c>
      <c r="R31" s="134">
        <f t="shared" si="6"/>
        <v>27.5</v>
      </c>
      <c r="S31" s="172">
        <v>66</v>
      </c>
      <c r="T31" s="134">
        <f t="shared" si="7"/>
        <v>91.25</v>
      </c>
      <c r="U31" s="166">
        <f t="shared" si="8"/>
        <v>45.625</v>
      </c>
      <c r="V31" s="131">
        <f t="shared" si="9"/>
        <v>91.458333333333329</v>
      </c>
      <c r="W31" s="167" t="str">
        <f t="shared" si="24"/>
        <v>PASSED</v>
      </c>
      <c r="Z31" s="34">
        <v>3</v>
      </c>
      <c r="AA31" s="35">
        <v>3</v>
      </c>
      <c r="AB31" s="19">
        <v>3</v>
      </c>
      <c r="AC31" s="19">
        <v>3</v>
      </c>
      <c r="AD31" s="19"/>
      <c r="AE31" s="108"/>
      <c r="AF31" s="111">
        <f t="shared" si="10"/>
        <v>12</v>
      </c>
      <c r="AG31" s="137">
        <f t="shared" si="11"/>
        <v>100</v>
      </c>
      <c r="AH31" s="137">
        <f t="shared" si="12"/>
        <v>10</v>
      </c>
      <c r="AI31" s="37">
        <v>100</v>
      </c>
      <c r="AJ31" s="19">
        <v>100</v>
      </c>
      <c r="AK31" s="19"/>
      <c r="AL31" s="19"/>
      <c r="AM31" s="19"/>
      <c r="AN31" s="108"/>
      <c r="AO31" s="111">
        <f t="shared" si="13"/>
        <v>200</v>
      </c>
      <c r="AP31" s="137">
        <f t="shared" si="14"/>
        <v>100</v>
      </c>
      <c r="AQ31" s="137">
        <f t="shared" si="15"/>
        <v>40</v>
      </c>
      <c r="AR31" s="36">
        <v>90</v>
      </c>
      <c r="AS31" s="107"/>
      <c r="AT31" s="111">
        <f t="shared" si="16"/>
        <v>90</v>
      </c>
      <c r="AU31" s="137">
        <f t="shared" si="17"/>
        <v>95</v>
      </c>
      <c r="AV31" s="137">
        <f t="shared" si="18"/>
        <v>47.5</v>
      </c>
      <c r="AW31" s="139">
        <f t="shared" si="25"/>
        <v>97.5</v>
      </c>
      <c r="AX31" s="113" t="str">
        <f t="shared" si="26"/>
        <v>PASSED</v>
      </c>
      <c r="AZ31" s="143">
        <f t="shared" si="19"/>
        <v>54.874999999999993</v>
      </c>
      <c r="BA31" s="146">
        <f t="shared" si="20"/>
        <v>39</v>
      </c>
      <c r="BB31" s="145">
        <f t="shared" si="21"/>
        <v>93.875</v>
      </c>
      <c r="BC31" s="117" t="str">
        <f t="shared" si="22"/>
        <v>PASSED</v>
      </c>
    </row>
    <row r="32" spans="1:55" ht="16.8" thickTop="1" thickBot="1" x14ac:dyDescent="0.35">
      <c r="A32" s="19">
        <f>Attendance!A30</f>
        <v>23</v>
      </c>
      <c r="B32" s="20" t="str">
        <f>Attendance!B30</f>
        <v>Getalla, Jhon Mike Delig</v>
      </c>
      <c r="C32" s="160">
        <f>Attendance!AD30</f>
        <v>10</v>
      </c>
      <c r="D32" s="135">
        <f t="shared" si="0"/>
        <v>66.666666666666657</v>
      </c>
      <c r="E32" s="134">
        <f t="shared" si="1"/>
        <v>3.333333333333333</v>
      </c>
      <c r="F32" s="168">
        <v>50</v>
      </c>
      <c r="G32" s="169"/>
      <c r="H32" s="170"/>
      <c r="I32" s="151">
        <f t="shared" si="23"/>
        <v>50</v>
      </c>
      <c r="J32" s="152">
        <f t="shared" si="2"/>
        <v>100</v>
      </c>
      <c r="K32" s="151">
        <f t="shared" si="3"/>
        <v>15</v>
      </c>
      <c r="L32" s="171">
        <v>9</v>
      </c>
      <c r="M32" s="169">
        <v>15</v>
      </c>
      <c r="N32" s="169"/>
      <c r="O32" s="170"/>
      <c r="P32" s="134">
        <f t="shared" si="4"/>
        <v>24</v>
      </c>
      <c r="Q32" s="133">
        <f t="shared" si="5"/>
        <v>90</v>
      </c>
      <c r="R32" s="134">
        <f t="shared" si="6"/>
        <v>27</v>
      </c>
      <c r="S32" s="172">
        <v>73</v>
      </c>
      <c r="T32" s="134">
        <f t="shared" si="7"/>
        <v>95.625</v>
      </c>
      <c r="U32" s="166">
        <f t="shared" si="8"/>
        <v>47.8125</v>
      </c>
      <c r="V32" s="131">
        <f t="shared" si="9"/>
        <v>93.145833333333329</v>
      </c>
      <c r="W32" s="167" t="str">
        <f t="shared" si="24"/>
        <v>PASSED</v>
      </c>
      <c r="Z32" s="34">
        <v>3</v>
      </c>
      <c r="AA32" s="35">
        <v>3</v>
      </c>
      <c r="AB32" s="19">
        <v>3</v>
      </c>
      <c r="AC32" s="19">
        <v>3</v>
      </c>
      <c r="AD32" s="19"/>
      <c r="AE32" s="108"/>
      <c r="AF32" s="111">
        <f t="shared" si="10"/>
        <v>12</v>
      </c>
      <c r="AG32" s="137">
        <f t="shared" si="11"/>
        <v>100</v>
      </c>
      <c r="AH32" s="137">
        <f t="shared" si="12"/>
        <v>10</v>
      </c>
      <c r="AI32" s="37">
        <v>100</v>
      </c>
      <c r="AJ32" s="19">
        <v>95</v>
      </c>
      <c r="AK32" s="19"/>
      <c r="AL32" s="19"/>
      <c r="AM32" s="19"/>
      <c r="AN32" s="108"/>
      <c r="AO32" s="111">
        <f t="shared" si="13"/>
        <v>195</v>
      </c>
      <c r="AP32" s="137">
        <f t="shared" si="14"/>
        <v>98.75</v>
      </c>
      <c r="AQ32" s="137">
        <f t="shared" si="15"/>
        <v>39.5</v>
      </c>
      <c r="AR32" s="36">
        <v>90</v>
      </c>
      <c r="AS32" s="107"/>
      <c r="AT32" s="111">
        <f t="shared" si="16"/>
        <v>90</v>
      </c>
      <c r="AU32" s="137">
        <f t="shared" si="17"/>
        <v>95</v>
      </c>
      <c r="AV32" s="137">
        <f t="shared" si="18"/>
        <v>47.5</v>
      </c>
      <c r="AW32" s="141">
        <f t="shared" si="25"/>
        <v>97</v>
      </c>
      <c r="AX32" s="115" t="str">
        <f t="shared" si="26"/>
        <v>PASSED</v>
      </c>
      <c r="AZ32" s="143">
        <f t="shared" si="19"/>
        <v>55.887499999999996</v>
      </c>
      <c r="BA32" s="146">
        <f t="shared" si="20"/>
        <v>38.800000000000004</v>
      </c>
      <c r="BB32" s="145">
        <f t="shared" si="21"/>
        <v>94.6875</v>
      </c>
      <c r="BC32" s="117" t="str">
        <f t="shared" si="22"/>
        <v>PASSED</v>
      </c>
    </row>
    <row r="33" spans="1:55" ht="16.8" thickTop="1" thickBot="1" x14ac:dyDescent="0.35">
      <c r="A33" s="19">
        <f>Attendance!A31</f>
        <v>24</v>
      </c>
      <c r="B33" s="20" t="str">
        <f>Attendance!B31</f>
        <v>Grado, Geron Gregory Lupase</v>
      </c>
      <c r="C33" s="160">
        <f>Attendance!AD31</f>
        <v>9</v>
      </c>
      <c r="D33" s="135">
        <f t="shared" si="0"/>
        <v>65</v>
      </c>
      <c r="E33" s="134">
        <f t="shared" si="1"/>
        <v>3.25</v>
      </c>
      <c r="F33" s="168">
        <v>50</v>
      </c>
      <c r="G33" s="169"/>
      <c r="H33" s="170"/>
      <c r="I33" s="151">
        <f t="shared" si="23"/>
        <v>50</v>
      </c>
      <c r="J33" s="152">
        <f t="shared" si="2"/>
        <v>100</v>
      </c>
      <c r="K33" s="151">
        <f t="shared" si="3"/>
        <v>15</v>
      </c>
      <c r="L33" s="171">
        <v>0</v>
      </c>
      <c r="M33" s="169">
        <v>15</v>
      </c>
      <c r="N33" s="169"/>
      <c r="O33" s="170"/>
      <c r="P33" s="134">
        <f t="shared" si="4"/>
        <v>15</v>
      </c>
      <c r="Q33" s="133">
        <f t="shared" si="5"/>
        <v>75</v>
      </c>
      <c r="R33" s="134">
        <f t="shared" si="6"/>
        <v>22.5</v>
      </c>
      <c r="S33" s="172">
        <v>77</v>
      </c>
      <c r="T33" s="134">
        <f t="shared" si="7"/>
        <v>98.125</v>
      </c>
      <c r="U33" s="166">
        <f t="shared" si="8"/>
        <v>49.0625</v>
      </c>
      <c r="V33" s="131">
        <f t="shared" si="9"/>
        <v>89.8125</v>
      </c>
      <c r="W33" s="167" t="str">
        <f t="shared" si="24"/>
        <v>PASSED</v>
      </c>
      <c r="Z33" s="34">
        <v>3</v>
      </c>
      <c r="AA33" s="35">
        <v>3</v>
      </c>
      <c r="AB33" s="19">
        <v>0</v>
      </c>
      <c r="AC33" s="19">
        <v>3</v>
      </c>
      <c r="AD33" s="19"/>
      <c r="AE33" s="108"/>
      <c r="AF33" s="111">
        <f t="shared" si="10"/>
        <v>9</v>
      </c>
      <c r="AG33" s="137">
        <f t="shared" si="11"/>
        <v>87.5</v>
      </c>
      <c r="AH33" s="137">
        <f t="shared" si="12"/>
        <v>8.75</v>
      </c>
      <c r="AI33" s="37">
        <v>90</v>
      </c>
      <c r="AJ33" s="19">
        <v>100</v>
      </c>
      <c r="AK33" s="19"/>
      <c r="AL33" s="19"/>
      <c r="AM33" s="19"/>
      <c r="AN33" s="108"/>
      <c r="AO33" s="111">
        <f t="shared" si="13"/>
        <v>190</v>
      </c>
      <c r="AP33" s="137">
        <f t="shared" si="14"/>
        <v>97.5</v>
      </c>
      <c r="AQ33" s="137">
        <f t="shared" si="15"/>
        <v>39</v>
      </c>
      <c r="AR33" s="36">
        <v>90</v>
      </c>
      <c r="AS33" s="107"/>
      <c r="AT33" s="111">
        <f t="shared" si="16"/>
        <v>90</v>
      </c>
      <c r="AU33" s="137">
        <f t="shared" si="17"/>
        <v>95</v>
      </c>
      <c r="AV33" s="137">
        <f t="shared" si="18"/>
        <v>47.5</v>
      </c>
      <c r="AW33" s="140">
        <f t="shared" si="25"/>
        <v>95.25</v>
      </c>
      <c r="AX33" s="114" t="str">
        <f t="shared" si="26"/>
        <v>PASSED</v>
      </c>
      <c r="AZ33" s="143">
        <f t="shared" si="19"/>
        <v>53.887499999999996</v>
      </c>
      <c r="BA33" s="146">
        <f t="shared" si="20"/>
        <v>38.1</v>
      </c>
      <c r="BB33" s="145">
        <f t="shared" si="21"/>
        <v>91.987499999999997</v>
      </c>
      <c r="BC33" s="117" t="str">
        <f t="shared" si="22"/>
        <v>PASSED</v>
      </c>
    </row>
    <row r="34" spans="1:55" ht="16.8" thickTop="1" thickBot="1" x14ac:dyDescent="0.35">
      <c r="A34" s="19">
        <f>Attendance!A32</f>
        <v>25</v>
      </c>
      <c r="B34" s="20" t="str">
        <f>Attendance!B32</f>
        <v>Jarina, Jirk Llanita</v>
      </c>
      <c r="C34" s="160">
        <f>Attendance!AD32</f>
        <v>9</v>
      </c>
      <c r="D34" s="135">
        <f t="shared" si="0"/>
        <v>65</v>
      </c>
      <c r="E34" s="134">
        <f t="shared" si="1"/>
        <v>3.25</v>
      </c>
      <c r="F34" s="168">
        <v>50</v>
      </c>
      <c r="G34" s="169"/>
      <c r="H34" s="170"/>
      <c r="I34" s="151">
        <f t="shared" si="23"/>
        <v>50</v>
      </c>
      <c r="J34" s="152">
        <f t="shared" si="2"/>
        <v>100</v>
      </c>
      <c r="K34" s="151">
        <f t="shared" si="3"/>
        <v>15</v>
      </c>
      <c r="L34" s="171">
        <v>0</v>
      </c>
      <c r="M34" s="169">
        <v>13</v>
      </c>
      <c r="N34" s="169"/>
      <c r="O34" s="170"/>
      <c r="P34" s="134">
        <f t="shared" si="4"/>
        <v>13</v>
      </c>
      <c r="Q34" s="133">
        <f t="shared" si="5"/>
        <v>71.666666666666671</v>
      </c>
      <c r="R34" s="134">
        <f t="shared" si="6"/>
        <v>21.5</v>
      </c>
      <c r="S34" s="172">
        <v>79</v>
      </c>
      <c r="T34" s="134">
        <f t="shared" si="7"/>
        <v>99.375</v>
      </c>
      <c r="U34" s="166">
        <f t="shared" si="8"/>
        <v>49.6875</v>
      </c>
      <c r="V34" s="131">
        <f t="shared" si="9"/>
        <v>89.4375</v>
      </c>
      <c r="W34" s="167" t="str">
        <f t="shared" si="24"/>
        <v>PASSED</v>
      </c>
      <c r="Z34" s="34">
        <v>3</v>
      </c>
      <c r="AA34" s="35">
        <v>3</v>
      </c>
      <c r="AB34" s="19">
        <v>3</v>
      </c>
      <c r="AC34" s="19">
        <v>3</v>
      </c>
      <c r="AD34" s="19"/>
      <c r="AE34" s="108"/>
      <c r="AF34" s="111">
        <f t="shared" si="10"/>
        <v>12</v>
      </c>
      <c r="AG34" s="137">
        <f t="shared" si="11"/>
        <v>100</v>
      </c>
      <c r="AH34" s="137">
        <f t="shared" si="12"/>
        <v>10</v>
      </c>
      <c r="AI34" s="37">
        <v>100</v>
      </c>
      <c r="AJ34" s="19">
        <v>100</v>
      </c>
      <c r="AK34" s="19"/>
      <c r="AL34" s="19"/>
      <c r="AM34" s="19"/>
      <c r="AN34" s="108"/>
      <c r="AO34" s="111">
        <f t="shared" si="13"/>
        <v>200</v>
      </c>
      <c r="AP34" s="137">
        <f t="shared" si="14"/>
        <v>100</v>
      </c>
      <c r="AQ34" s="137">
        <f t="shared" si="15"/>
        <v>40</v>
      </c>
      <c r="AR34" s="36">
        <v>90</v>
      </c>
      <c r="AS34" s="107"/>
      <c r="AT34" s="111">
        <f t="shared" si="16"/>
        <v>90</v>
      </c>
      <c r="AU34" s="137">
        <f t="shared" si="17"/>
        <v>95</v>
      </c>
      <c r="AV34" s="137">
        <f t="shared" si="18"/>
        <v>47.5</v>
      </c>
      <c r="AW34" s="139">
        <f t="shared" si="25"/>
        <v>97.5</v>
      </c>
      <c r="AX34" s="113" t="str">
        <f t="shared" si="26"/>
        <v>PASSED</v>
      </c>
      <c r="AZ34" s="143">
        <f t="shared" si="19"/>
        <v>53.662500000000001</v>
      </c>
      <c r="BA34" s="146">
        <f t="shared" si="20"/>
        <v>39</v>
      </c>
      <c r="BB34" s="145">
        <f t="shared" si="21"/>
        <v>92.662499999999994</v>
      </c>
      <c r="BC34" s="117" t="str">
        <f t="shared" si="22"/>
        <v>PASSED</v>
      </c>
    </row>
    <row r="35" spans="1:55" ht="16.8" thickTop="1" thickBot="1" x14ac:dyDescent="0.35">
      <c r="A35" s="19">
        <f>Attendance!A33</f>
        <v>26</v>
      </c>
      <c r="B35" s="20" t="str">
        <f>Attendance!B33</f>
        <v>Kalaw, Stephen Val Pajes</v>
      </c>
      <c r="C35" s="160">
        <f>Attendance!AD33</f>
        <v>5</v>
      </c>
      <c r="D35" s="135">
        <f t="shared" si="0"/>
        <v>58.333333333333329</v>
      </c>
      <c r="E35" s="134">
        <f t="shared" si="1"/>
        <v>2.9166666666666665</v>
      </c>
      <c r="F35" s="168">
        <v>50</v>
      </c>
      <c r="G35" s="169"/>
      <c r="H35" s="170"/>
      <c r="I35" s="151">
        <f t="shared" si="23"/>
        <v>50</v>
      </c>
      <c r="J35" s="152">
        <f t="shared" si="2"/>
        <v>100</v>
      </c>
      <c r="K35" s="151">
        <f t="shared" si="3"/>
        <v>15</v>
      </c>
      <c r="L35" s="171">
        <v>7</v>
      </c>
      <c r="M35" s="169">
        <v>14</v>
      </c>
      <c r="N35" s="169"/>
      <c r="O35" s="170"/>
      <c r="P35" s="134">
        <f t="shared" si="4"/>
        <v>21</v>
      </c>
      <c r="Q35" s="133">
        <f t="shared" si="5"/>
        <v>85</v>
      </c>
      <c r="R35" s="134">
        <f t="shared" si="6"/>
        <v>25.5</v>
      </c>
      <c r="S35" s="172">
        <v>64</v>
      </c>
      <c r="T35" s="134">
        <f t="shared" si="7"/>
        <v>90</v>
      </c>
      <c r="U35" s="166">
        <f t="shared" si="8"/>
        <v>45</v>
      </c>
      <c r="V35" s="131">
        <f t="shared" si="9"/>
        <v>88.416666666666671</v>
      </c>
      <c r="W35" s="167" t="str">
        <f t="shared" si="24"/>
        <v>PASSED</v>
      </c>
      <c r="Z35" s="34">
        <v>3</v>
      </c>
      <c r="AA35" s="35">
        <v>3</v>
      </c>
      <c r="AB35" s="19">
        <v>3</v>
      </c>
      <c r="AC35" s="19">
        <v>3</v>
      </c>
      <c r="AD35" s="19"/>
      <c r="AE35" s="108"/>
      <c r="AF35" s="111">
        <f t="shared" si="10"/>
        <v>12</v>
      </c>
      <c r="AG35" s="137">
        <f t="shared" si="11"/>
        <v>100</v>
      </c>
      <c r="AH35" s="137">
        <f t="shared" si="12"/>
        <v>10</v>
      </c>
      <c r="AI35" s="37">
        <v>100</v>
      </c>
      <c r="AJ35" s="19">
        <v>100</v>
      </c>
      <c r="AK35" s="19"/>
      <c r="AL35" s="19"/>
      <c r="AM35" s="19"/>
      <c r="AN35" s="108"/>
      <c r="AO35" s="111">
        <f t="shared" si="13"/>
        <v>200</v>
      </c>
      <c r="AP35" s="137">
        <f t="shared" si="14"/>
        <v>100</v>
      </c>
      <c r="AQ35" s="137">
        <f t="shared" si="15"/>
        <v>40</v>
      </c>
      <c r="AR35" s="36">
        <v>90</v>
      </c>
      <c r="AS35" s="107"/>
      <c r="AT35" s="111">
        <f t="shared" si="16"/>
        <v>90</v>
      </c>
      <c r="AU35" s="137">
        <f t="shared" si="17"/>
        <v>95</v>
      </c>
      <c r="AV35" s="137">
        <f t="shared" si="18"/>
        <v>47.5</v>
      </c>
      <c r="AW35" s="140">
        <f t="shared" si="25"/>
        <v>97.5</v>
      </c>
      <c r="AX35" s="114" t="str">
        <f t="shared" si="26"/>
        <v>PASSED</v>
      </c>
      <c r="AZ35" s="143">
        <f t="shared" si="19"/>
        <v>53.050000000000004</v>
      </c>
      <c r="BA35" s="146">
        <f t="shared" si="20"/>
        <v>39</v>
      </c>
      <c r="BB35" s="145">
        <f t="shared" si="21"/>
        <v>92.050000000000011</v>
      </c>
      <c r="BC35" s="117" t="str">
        <f t="shared" si="22"/>
        <v>PASSED</v>
      </c>
    </row>
    <row r="36" spans="1:55" ht="16.8" thickTop="1" thickBot="1" x14ac:dyDescent="0.35">
      <c r="A36" s="19">
        <f>Attendance!A34</f>
        <v>27</v>
      </c>
      <c r="B36" s="20" t="str">
        <f>Attendance!B34</f>
        <v>Lapez, Kobei Ryant Valenzuela</v>
      </c>
      <c r="C36" s="160">
        <f>Attendance!AD34</f>
        <v>7</v>
      </c>
      <c r="D36" s="135">
        <f t="shared" si="0"/>
        <v>61.666666666666664</v>
      </c>
      <c r="E36" s="134">
        <f t="shared" si="1"/>
        <v>3.0833333333333335</v>
      </c>
      <c r="F36" s="168">
        <v>25</v>
      </c>
      <c r="G36" s="169"/>
      <c r="H36" s="170"/>
      <c r="I36" s="151">
        <f t="shared" si="23"/>
        <v>25</v>
      </c>
      <c r="J36" s="152">
        <f t="shared" si="2"/>
        <v>75</v>
      </c>
      <c r="K36" s="151">
        <f t="shared" si="3"/>
        <v>11.25</v>
      </c>
      <c r="L36" s="171">
        <v>0</v>
      </c>
      <c r="M36" s="169">
        <v>13</v>
      </c>
      <c r="N36" s="169"/>
      <c r="O36" s="170"/>
      <c r="P36" s="134">
        <f t="shared" si="4"/>
        <v>13</v>
      </c>
      <c r="Q36" s="133">
        <f t="shared" si="5"/>
        <v>71.666666666666671</v>
      </c>
      <c r="R36" s="134">
        <f t="shared" si="6"/>
        <v>21.5</v>
      </c>
      <c r="S36" s="172">
        <v>51</v>
      </c>
      <c r="T36" s="134">
        <f t="shared" si="7"/>
        <v>81.875</v>
      </c>
      <c r="U36" s="166">
        <f t="shared" si="8"/>
        <v>40.9375</v>
      </c>
      <c r="V36" s="131">
        <f t="shared" si="9"/>
        <v>76.770833333333329</v>
      </c>
      <c r="W36" s="167" t="str">
        <f t="shared" si="24"/>
        <v>PASSED</v>
      </c>
      <c r="Z36" s="34">
        <v>3</v>
      </c>
      <c r="AA36" s="35">
        <v>3</v>
      </c>
      <c r="AB36" s="19">
        <v>0</v>
      </c>
      <c r="AC36" s="19">
        <v>3</v>
      </c>
      <c r="AD36" s="19"/>
      <c r="AE36" s="108"/>
      <c r="AF36" s="111">
        <f t="shared" si="10"/>
        <v>9</v>
      </c>
      <c r="AG36" s="137">
        <f t="shared" si="11"/>
        <v>87.5</v>
      </c>
      <c r="AH36" s="137">
        <f t="shared" si="12"/>
        <v>8.75</v>
      </c>
      <c r="AI36" s="37">
        <v>90</v>
      </c>
      <c r="AJ36" s="19">
        <v>90</v>
      </c>
      <c r="AK36" s="19"/>
      <c r="AL36" s="19"/>
      <c r="AM36" s="19"/>
      <c r="AN36" s="108"/>
      <c r="AO36" s="111">
        <f t="shared" si="13"/>
        <v>180</v>
      </c>
      <c r="AP36" s="137">
        <f t="shared" si="14"/>
        <v>95</v>
      </c>
      <c r="AQ36" s="137">
        <f t="shared" si="15"/>
        <v>38</v>
      </c>
      <c r="AR36" s="36">
        <v>90</v>
      </c>
      <c r="AS36" s="107"/>
      <c r="AT36" s="111">
        <f t="shared" si="16"/>
        <v>90</v>
      </c>
      <c r="AU36" s="137">
        <f t="shared" si="17"/>
        <v>95</v>
      </c>
      <c r="AV36" s="137">
        <f t="shared" si="18"/>
        <v>47.5</v>
      </c>
      <c r="AW36" s="139">
        <f t="shared" si="25"/>
        <v>94.25</v>
      </c>
      <c r="AX36" s="113" t="str">
        <f t="shared" si="26"/>
        <v>PASSED</v>
      </c>
      <c r="AZ36" s="143">
        <f t="shared" si="19"/>
        <v>46.062499999999993</v>
      </c>
      <c r="BA36" s="146">
        <f t="shared" si="20"/>
        <v>37.700000000000003</v>
      </c>
      <c r="BB36" s="145">
        <f t="shared" si="21"/>
        <v>83.762499999999989</v>
      </c>
      <c r="BC36" s="117" t="str">
        <f t="shared" si="22"/>
        <v>PASSED</v>
      </c>
    </row>
    <row r="37" spans="1:55" ht="16.8" thickTop="1" thickBot="1" x14ac:dyDescent="0.35">
      <c r="A37" s="19">
        <f>Attendance!A35</f>
        <v>28</v>
      </c>
      <c r="B37" s="20" t="str">
        <f>Attendance!B35</f>
        <v>Logro, Gerald Capipilan</v>
      </c>
      <c r="C37" s="160">
        <f>Attendance!AD35</f>
        <v>9</v>
      </c>
      <c r="D37" s="135">
        <f t="shared" si="0"/>
        <v>65</v>
      </c>
      <c r="E37" s="134">
        <f t="shared" si="1"/>
        <v>3.25</v>
      </c>
      <c r="F37" s="168">
        <v>50</v>
      </c>
      <c r="G37" s="169"/>
      <c r="H37" s="170"/>
      <c r="I37" s="151">
        <f t="shared" si="23"/>
        <v>50</v>
      </c>
      <c r="J37" s="152">
        <f t="shared" si="2"/>
        <v>100</v>
      </c>
      <c r="K37" s="151">
        <f t="shared" si="3"/>
        <v>15</v>
      </c>
      <c r="L37" s="171">
        <v>14</v>
      </c>
      <c r="M37" s="169">
        <v>11</v>
      </c>
      <c r="N37" s="169"/>
      <c r="O37" s="170"/>
      <c r="P37" s="134">
        <f t="shared" si="4"/>
        <v>25</v>
      </c>
      <c r="Q37" s="133">
        <f t="shared" si="5"/>
        <v>91.666666666666671</v>
      </c>
      <c r="R37" s="134">
        <f t="shared" si="6"/>
        <v>27.5</v>
      </c>
      <c r="S37" s="172">
        <v>72</v>
      </c>
      <c r="T37" s="134">
        <f t="shared" si="7"/>
        <v>95</v>
      </c>
      <c r="U37" s="166">
        <f t="shared" si="8"/>
        <v>47.5</v>
      </c>
      <c r="V37" s="131">
        <f t="shared" si="9"/>
        <v>93.25</v>
      </c>
      <c r="W37" s="167" t="str">
        <f t="shared" si="24"/>
        <v>PASSED</v>
      </c>
      <c r="Z37" s="34">
        <v>3</v>
      </c>
      <c r="AA37" s="35">
        <v>3</v>
      </c>
      <c r="AB37" s="19">
        <v>3</v>
      </c>
      <c r="AC37" s="19">
        <v>3</v>
      </c>
      <c r="AD37" s="19"/>
      <c r="AE37" s="108"/>
      <c r="AF37" s="111">
        <f t="shared" si="10"/>
        <v>12</v>
      </c>
      <c r="AG37" s="137">
        <f t="shared" si="11"/>
        <v>100</v>
      </c>
      <c r="AH37" s="137">
        <f t="shared" si="12"/>
        <v>10</v>
      </c>
      <c r="AI37" s="37">
        <v>100</v>
      </c>
      <c r="AJ37" s="19">
        <v>90</v>
      </c>
      <c r="AK37" s="19"/>
      <c r="AL37" s="19"/>
      <c r="AM37" s="19"/>
      <c r="AN37" s="108"/>
      <c r="AO37" s="111">
        <f t="shared" si="13"/>
        <v>190</v>
      </c>
      <c r="AP37" s="137">
        <f t="shared" si="14"/>
        <v>97.5</v>
      </c>
      <c r="AQ37" s="137">
        <f t="shared" si="15"/>
        <v>39</v>
      </c>
      <c r="AR37" s="36">
        <v>90</v>
      </c>
      <c r="AS37" s="107"/>
      <c r="AT37" s="111">
        <f t="shared" si="16"/>
        <v>90</v>
      </c>
      <c r="AU37" s="137">
        <f t="shared" si="17"/>
        <v>95</v>
      </c>
      <c r="AV37" s="137">
        <f t="shared" si="18"/>
        <v>47.5</v>
      </c>
      <c r="AW37" s="140">
        <f t="shared" si="25"/>
        <v>96.5</v>
      </c>
      <c r="AX37" s="114" t="str">
        <f t="shared" si="26"/>
        <v>PASSED</v>
      </c>
      <c r="AZ37" s="143">
        <f t="shared" si="19"/>
        <v>55.949999999999996</v>
      </c>
      <c r="BA37" s="146">
        <f t="shared" si="20"/>
        <v>38.6</v>
      </c>
      <c r="BB37" s="145">
        <f t="shared" si="21"/>
        <v>94.55</v>
      </c>
      <c r="BC37" s="117" t="str">
        <f t="shared" si="22"/>
        <v>PASSED</v>
      </c>
    </row>
    <row r="38" spans="1:55" ht="16.8" thickTop="1" thickBot="1" x14ac:dyDescent="0.35">
      <c r="A38" s="19">
        <f>Attendance!A36</f>
        <v>29</v>
      </c>
      <c r="B38" s="20" t="str">
        <f>Attendance!B36</f>
        <v>Macas, Joriemel Dumam-ag</v>
      </c>
      <c r="C38" s="160">
        <f>Attendance!AD36</f>
        <v>7</v>
      </c>
      <c r="D38" s="135">
        <f t="shared" si="0"/>
        <v>61.666666666666664</v>
      </c>
      <c r="E38" s="134">
        <f t="shared" si="1"/>
        <v>3.0833333333333335</v>
      </c>
      <c r="F38" s="168">
        <v>50</v>
      </c>
      <c r="G38" s="169"/>
      <c r="H38" s="170"/>
      <c r="I38" s="151">
        <f t="shared" si="23"/>
        <v>50</v>
      </c>
      <c r="J38" s="152">
        <f t="shared" si="2"/>
        <v>100</v>
      </c>
      <c r="K38" s="151">
        <f t="shared" si="3"/>
        <v>15</v>
      </c>
      <c r="L38" s="171">
        <v>0</v>
      </c>
      <c r="M38" s="169">
        <v>12</v>
      </c>
      <c r="N38" s="169"/>
      <c r="O38" s="170"/>
      <c r="P38" s="134">
        <f t="shared" si="4"/>
        <v>12</v>
      </c>
      <c r="Q38" s="133">
        <f t="shared" si="5"/>
        <v>70</v>
      </c>
      <c r="R38" s="134">
        <f t="shared" si="6"/>
        <v>21</v>
      </c>
      <c r="S38" s="172">
        <v>73</v>
      </c>
      <c r="T38" s="134">
        <f t="shared" si="7"/>
        <v>95.625</v>
      </c>
      <c r="U38" s="166">
        <f t="shared" si="8"/>
        <v>47.8125</v>
      </c>
      <c r="V38" s="131">
        <f t="shared" si="9"/>
        <v>86.895833333333329</v>
      </c>
      <c r="W38" s="167" t="str">
        <f t="shared" si="24"/>
        <v>PASSED</v>
      </c>
      <c r="Z38" s="34">
        <v>3</v>
      </c>
      <c r="AA38" s="35">
        <v>3</v>
      </c>
      <c r="AB38" s="19">
        <v>3</v>
      </c>
      <c r="AC38" s="19">
        <v>3</v>
      </c>
      <c r="AD38" s="19"/>
      <c r="AE38" s="108"/>
      <c r="AF38" s="111">
        <f t="shared" si="10"/>
        <v>12</v>
      </c>
      <c r="AG38" s="137">
        <f t="shared" si="11"/>
        <v>100</v>
      </c>
      <c r="AH38" s="137">
        <f t="shared" si="12"/>
        <v>10</v>
      </c>
      <c r="AI38" s="37">
        <v>100</v>
      </c>
      <c r="AJ38" s="19">
        <v>100</v>
      </c>
      <c r="AK38" s="19"/>
      <c r="AL38" s="19"/>
      <c r="AM38" s="19"/>
      <c r="AN38" s="108"/>
      <c r="AO38" s="111">
        <f t="shared" si="13"/>
        <v>200</v>
      </c>
      <c r="AP38" s="137">
        <f t="shared" si="14"/>
        <v>100</v>
      </c>
      <c r="AQ38" s="137">
        <f t="shared" si="15"/>
        <v>40</v>
      </c>
      <c r="AR38" s="36">
        <v>90</v>
      </c>
      <c r="AS38" s="107"/>
      <c r="AT38" s="111">
        <f t="shared" si="16"/>
        <v>90</v>
      </c>
      <c r="AU38" s="137">
        <f t="shared" si="17"/>
        <v>95</v>
      </c>
      <c r="AV38" s="137">
        <f t="shared" si="18"/>
        <v>47.5</v>
      </c>
      <c r="AW38" s="139">
        <f t="shared" si="25"/>
        <v>97.5</v>
      </c>
      <c r="AX38" s="113" t="str">
        <f t="shared" si="26"/>
        <v>PASSED</v>
      </c>
      <c r="AZ38" s="143">
        <f t="shared" si="19"/>
        <v>52.137499999999996</v>
      </c>
      <c r="BA38" s="146">
        <f t="shared" si="20"/>
        <v>39</v>
      </c>
      <c r="BB38" s="145">
        <f t="shared" si="21"/>
        <v>91.137499999999989</v>
      </c>
      <c r="BC38" s="117" t="str">
        <f t="shared" si="22"/>
        <v>PASSED</v>
      </c>
    </row>
    <row r="39" spans="1:55" ht="16.8" thickTop="1" thickBot="1" x14ac:dyDescent="0.35">
      <c r="A39" s="19">
        <f>Attendance!A37</f>
        <v>30</v>
      </c>
      <c r="B39" s="20" t="str">
        <f>Attendance!B37</f>
        <v>Manticayan, Janine Gurdo</v>
      </c>
      <c r="C39" s="160">
        <f>Attendance!AD37</f>
        <v>10</v>
      </c>
      <c r="D39" s="135">
        <f t="shared" si="0"/>
        <v>66.666666666666657</v>
      </c>
      <c r="E39" s="134">
        <f t="shared" si="1"/>
        <v>3.333333333333333</v>
      </c>
      <c r="F39" s="168">
        <v>50</v>
      </c>
      <c r="G39" s="169"/>
      <c r="H39" s="170"/>
      <c r="I39" s="151">
        <f t="shared" si="23"/>
        <v>50</v>
      </c>
      <c r="J39" s="152">
        <f t="shared" si="2"/>
        <v>100</v>
      </c>
      <c r="K39" s="151">
        <f t="shared" si="3"/>
        <v>15</v>
      </c>
      <c r="L39" s="171">
        <v>15</v>
      </c>
      <c r="M39" s="169">
        <v>15</v>
      </c>
      <c r="N39" s="169"/>
      <c r="O39" s="170"/>
      <c r="P39" s="134">
        <f t="shared" si="4"/>
        <v>30</v>
      </c>
      <c r="Q39" s="133">
        <f t="shared" si="5"/>
        <v>100</v>
      </c>
      <c r="R39" s="134">
        <f t="shared" si="6"/>
        <v>30</v>
      </c>
      <c r="S39" s="172">
        <v>78</v>
      </c>
      <c r="T39" s="134">
        <f t="shared" si="7"/>
        <v>98.75</v>
      </c>
      <c r="U39" s="166">
        <f t="shared" si="8"/>
        <v>49.375</v>
      </c>
      <c r="V39" s="131">
        <f t="shared" si="9"/>
        <v>97.708333333333329</v>
      </c>
      <c r="W39" s="167" t="str">
        <f t="shared" si="24"/>
        <v>PASSED</v>
      </c>
      <c r="Z39" s="34">
        <v>3</v>
      </c>
      <c r="AA39" s="35">
        <v>3</v>
      </c>
      <c r="AB39" s="19">
        <v>3</v>
      </c>
      <c r="AC39" s="19">
        <v>3</v>
      </c>
      <c r="AD39" s="19"/>
      <c r="AE39" s="108"/>
      <c r="AF39" s="111">
        <f t="shared" si="10"/>
        <v>12</v>
      </c>
      <c r="AG39" s="137">
        <f t="shared" si="11"/>
        <v>100</v>
      </c>
      <c r="AH39" s="137">
        <f t="shared" si="12"/>
        <v>10</v>
      </c>
      <c r="AI39" s="37">
        <v>90</v>
      </c>
      <c r="AJ39" s="19">
        <v>90</v>
      </c>
      <c r="AK39" s="19"/>
      <c r="AL39" s="19"/>
      <c r="AM39" s="19"/>
      <c r="AN39" s="108"/>
      <c r="AO39" s="111">
        <f t="shared" si="13"/>
        <v>180</v>
      </c>
      <c r="AP39" s="137">
        <f t="shared" si="14"/>
        <v>95</v>
      </c>
      <c r="AQ39" s="137">
        <f t="shared" si="15"/>
        <v>38</v>
      </c>
      <c r="AR39" s="36">
        <v>90</v>
      </c>
      <c r="AS39" s="107"/>
      <c r="AT39" s="111">
        <f t="shared" si="16"/>
        <v>90</v>
      </c>
      <c r="AU39" s="137">
        <f t="shared" si="17"/>
        <v>95</v>
      </c>
      <c r="AV39" s="137">
        <f t="shared" si="18"/>
        <v>47.5</v>
      </c>
      <c r="AW39" s="140">
        <f t="shared" si="25"/>
        <v>95.5</v>
      </c>
      <c r="AX39" s="114" t="str">
        <f t="shared" si="26"/>
        <v>PASSED</v>
      </c>
      <c r="AZ39" s="143">
        <f t="shared" si="19"/>
        <v>58.624999999999993</v>
      </c>
      <c r="BA39" s="146">
        <f t="shared" si="20"/>
        <v>38.200000000000003</v>
      </c>
      <c r="BB39" s="145">
        <f t="shared" si="21"/>
        <v>96.824999999999989</v>
      </c>
      <c r="BC39" s="117" t="str">
        <f t="shared" si="22"/>
        <v>PASSED</v>
      </c>
    </row>
    <row r="40" spans="1:55" ht="16.8" thickTop="1" thickBot="1" x14ac:dyDescent="0.35">
      <c r="A40" s="19">
        <f>Attendance!A38</f>
        <v>31</v>
      </c>
      <c r="B40" s="20" t="str">
        <f>Attendance!B38</f>
        <v>Mojal, Mariel Key Sarra</v>
      </c>
      <c r="C40" s="160">
        <f>Attendance!AD38</f>
        <v>10</v>
      </c>
      <c r="D40" s="135">
        <f t="shared" si="0"/>
        <v>66.666666666666657</v>
      </c>
      <c r="E40" s="134">
        <f t="shared" si="1"/>
        <v>3.333333333333333</v>
      </c>
      <c r="F40" s="168">
        <v>50</v>
      </c>
      <c r="G40" s="169"/>
      <c r="H40" s="170"/>
      <c r="I40" s="151">
        <f t="shared" si="23"/>
        <v>50</v>
      </c>
      <c r="J40" s="152">
        <f t="shared" si="2"/>
        <v>100</v>
      </c>
      <c r="K40" s="151">
        <f t="shared" si="3"/>
        <v>15</v>
      </c>
      <c r="L40" s="171">
        <v>14</v>
      </c>
      <c r="M40" s="169">
        <v>15</v>
      </c>
      <c r="N40" s="169"/>
      <c r="O40" s="170"/>
      <c r="P40" s="134">
        <f t="shared" si="4"/>
        <v>29</v>
      </c>
      <c r="Q40" s="133">
        <f t="shared" si="5"/>
        <v>98.333333333333343</v>
      </c>
      <c r="R40" s="134">
        <f t="shared" si="6"/>
        <v>29.5</v>
      </c>
      <c r="S40" s="172">
        <v>73</v>
      </c>
      <c r="T40" s="134">
        <f t="shared" si="7"/>
        <v>95.625</v>
      </c>
      <c r="U40" s="166">
        <f t="shared" si="8"/>
        <v>47.8125</v>
      </c>
      <c r="V40" s="131">
        <f t="shared" si="9"/>
        <v>95.645833333333329</v>
      </c>
      <c r="W40" s="167" t="str">
        <f t="shared" si="24"/>
        <v>PASSED</v>
      </c>
      <c r="Z40" s="34">
        <v>3</v>
      </c>
      <c r="AA40" s="35">
        <v>3</v>
      </c>
      <c r="AB40" s="19">
        <v>3</v>
      </c>
      <c r="AC40" s="19">
        <v>3</v>
      </c>
      <c r="AD40" s="19"/>
      <c r="AE40" s="108"/>
      <c r="AF40" s="111">
        <f t="shared" si="10"/>
        <v>12</v>
      </c>
      <c r="AG40" s="137">
        <f t="shared" si="11"/>
        <v>100</v>
      </c>
      <c r="AH40" s="137">
        <f t="shared" si="12"/>
        <v>10</v>
      </c>
      <c r="AI40" s="37">
        <v>100</v>
      </c>
      <c r="AJ40" s="19">
        <v>100</v>
      </c>
      <c r="AK40" s="19"/>
      <c r="AL40" s="19"/>
      <c r="AM40" s="19"/>
      <c r="AN40" s="108"/>
      <c r="AO40" s="111">
        <f t="shared" si="13"/>
        <v>200</v>
      </c>
      <c r="AP40" s="137">
        <f t="shared" si="14"/>
        <v>100</v>
      </c>
      <c r="AQ40" s="137">
        <f t="shared" si="15"/>
        <v>40</v>
      </c>
      <c r="AR40" s="36">
        <v>90</v>
      </c>
      <c r="AS40" s="107"/>
      <c r="AT40" s="111">
        <f t="shared" si="16"/>
        <v>90</v>
      </c>
      <c r="AU40" s="137">
        <f t="shared" si="17"/>
        <v>95</v>
      </c>
      <c r="AV40" s="137">
        <f t="shared" si="18"/>
        <v>47.5</v>
      </c>
      <c r="AW40" s="139">
        <f t="shared" si="25"/>
        <v>97.5</v>
      </c>
      <c r="AX40" s="113" t="str">
        <f t="shared" si="26"/>
        <v>PASSED</v>
      </c>
      <c r="AZ40" s="143">
        <f t="shared" si="19"/>
        <v>57.387499999999996</v>
      </c>
      <c r="BA40" s="146">
        <f t="shared" si="20"/>
        <v>39</v>
      </c>
      <c r="BB40" s="145">
        <f t="shared" si="21"/>
        <v>96.387499999999989</v>
      </c>
      <c r="BC40" s="117" t="str">
        <f t="shared" si="22"/>
        <v>PASSED</v>
      </c>
    </row>
    <row r="41" spans="1:55" ht="16.8" thickTop="1" thickBot="1" x14ac:dyDescent="0.35">
      <c r="A41" s="19">
        <f>Attendance!A39</f>
        <v>32</v>
      </c>
      <c r="B41" s="20" t="str">
        <f>Attendance!B39</f>
        <v>Nabua, Riel Andrew Banguiz</v>
      </c>
      <c r="C41" s="160">
        <f>Attendance!AD39</f>
        <v>8</v>
      </c>
      <c r="D41" s="135">
        <f t="shared" si="0"/>
        <v>63.333333333333336</v>
      </c>
      <c r="E41" s="134">
        <f t="shared" si="1"/>
        <v>3.166666666666667</v>
      </c>
      <c r="F41" s="168">
        <v>10</v>
      </c>
      <c r="G41" s="169"/>
      <c r="H41" s="170"/>
      <c r="I41" s="151">
        <f t="shared" si="23"/>
        <v>10</v>
      </c>
      <c r="J41" s="152">
        <f t="shared" si="2"/>
        <v>60</v>
      </c>
      <c r="K41" s="151">
        <f t="shared" si="3"/>
        <v>9</v>
      </c>
      <c r="L41" s="171">
        <v>0</v>
      </c>
      <c r="M41" s="169">
        <v>13</v>
      </c>
      <c r="N41" s="169"/>
      <c r="O41" s="170"/>
      <c r="P41" s="134">
        <f t="shared" si="4"/>
        <v>13</v>
      </c>
      <c r="Q41" s="133">
        <f t="shared" si="5"/>
        <v>71.666666666666671</v>
      </c>
      <c r="R41" s="134">
        <f t="shared" si="6"/>
        <v>21.5</v>
      </c>
      <c r="S41" s="172">
        <v>65</v>
      </c>
      <c r="T41" s="134">
        <f t="shared" si="7"/>
        <v>90.625</v>
      </c>
      <c r="U41" s="166">
        <f t="shared" si="8"/>
        <v>45.3125</v>
      </c>
      <c r="V41" s="131">
        <f t="shared" si="9"/>
        <v>78.979166666666671</v>
      </c>
      <c r="W41" s="167" t="str">
        <f t="shared" si="24"/>
        <v>PASSED</v>
      </c>
      <c r="Z41" s="34">
        <v>3</v>
      </c>
      <c r="AA41" s="35">
        <v>3</v>
      </c>
      <c r="AB41" s="19">
        <v>3</v>
      </c>
      <c r="AC41" s="19">
        <v>3</v>
      </c>
      <c r="AD41" s="19"/>
      <c r="AE41" s="108"/>
      <c r="AF41" s="111">
        <f t="shared" si="10"/>
        <v>12</v>
      </c>
      <c r="AG41" s="137">
        <f t="shared" si="11"/>
        <v>100</v>
      </c>
      <c r="AH41" s="137">
        <f t="shared" si="12"/>
        <v>10</v>
      </c>
      <c r="AI41" s="37">
        <v>0</v>
      </c>
      <c r="AJ41" s="19">
        <v>90</v>
      </c>
      <c r="AK41" s="19"/>
      <c r="AL41" s="19"/>
      <c r="AM41" s="19"/>
      <c r="AN41" s="108"/>
      <c r="AO41" s="111">
        <f t="shared" si="13"/>
        <v>90</v>
      </c>
      <c r="AP41" s="137">
        <f t="shared" si="14"/>
        <v>72.5</v>
      </c>
      <c r="AQ41" s="137">
        <f t="shared" si="15"/>
        <v>29</v>
      </c>
      <c r="AR41" s="36">
        <v>50</v>
      </c>
      <c r="AS41" s="107"/>
      <c r="AT41" s="111">
        <f t="shared" si="16"/>
        <v>50</v>
      </c>
      <c r="AU41" s="137">
        <f t="shared" si="17"/>
        <v>75</v>
      </c>
      <c r="AV41" s="137">
        <f t="shared" si="18"/>
        <v>37.5</v>
      </c>
      <c r="AW41" s="140">
        <f t="shared" si="25"/>
        <v>76.5</v>
      </c>
      <c r="AX41" s="114" t="str">
        <f t="shared" si="26"/>
        <v>PASSED</v>
      </c>
      <c r="AZ41" s="143">
        <f t="shared" si="19"/>
        <v>47.387500000000003</v>
      </c>
      <c r="BA41" s="146">
        <f t="shared" si="20"/>
        <v>30.6</v>
      </c>
      <c r="BB41" s="145">
        <f t="shared" si="21"/>
        <v>77.987500000000011</v>
      </c>
      <c r="BC41" s="117" t="str">
        <f t="shared" si="22"/>
        <v>PASSED</v>
      </c>
    </row>
    <row r="42" spans="1:55" ht="16.8" thickTop="1" thickBot="1" x14ac:dyDescent="0.35">
      <c r="A42" s="19">
        <f>Attendance!A40</f>
        <v>33</v>
      </c>
      <c r="B42" s="20" t="str">
        <f>Attendance!B40</f>
        <v>Nicolas, Beyonce Sophia Tuan</v>
      </c>
      <c r="C42" s="160">
        <f>Attendance!AD40</f>
        <v>4</v>
      </c>
      <c r="D42" s="135">
        <f t="shared" si="0"/>
        <v>56.666666666666664</v>
      </c>
      <c r="E42" s="134">
        <f t="shared" si="1"/>
        <v>2.8333333333333335</v>
      </c>
      <c r="F42" s="168">
        <v>50</v>
      </c>
      <c r="G42" s="169"/>
      <c r="H42" s="170"/>
      <c r="I42" s="151">
        <f t="shared" si="23"/>
        <v>50</v>
      </c>
      <c r="J42" s="152">
        <f t="shared" si="2"/>
        <v>100</v>
      </c>
      <c r="K42" s="151">
        <f t="shared" si="3"/>
        <v>15</v>
      </c>
      <c r="L42" s="171">
        <v>0</v>
      </c>
      <c r="M42" s="169">
        <v>15</v>
      </c>
      <c r="N42" s="169"/>
      <c r="O42" s="170"/>
      <c r="P42" s="134">
        <f t="shared" si="4"/>
        <v>15</v>
      </c>
      <c r="Q42" s="133">
        <f t="shared" si="5"/>
        <v>75</v>
      </c>
      <c r="R42" s="134">
        <f t="shared" si="6"/>
        <v>22.5</v>
      </c>
      <c r="S42" s="172">
        <v>73</v>
      </c>
      <c r="T42" s="134">
        <f t="shared" si="7"/>
        <v>95.625</v>
      </c>
      <c r="U42" s="166">
        <f t="shared" si="8"/>
        <v>47.8125</v>
      </c>
      <c r="V42" s="131">
        <f t="shared" si="9"/>
        <v>88.145833333333329</v>
      </c>
      <c r="W42" s="167" t="str">
        <f t="shared" si="24"/>
        <v>PASSED</v>
      </c>
      <c r="Z42" s="34">
        <v>3</v>
      </c>
      <c r="AA42" s="35">
        <v>3</v>
      </c>
      <c r="AB42" s="19">
        <v>0</v>
      </c>
      <c r="AC42" s="19">
        <v>3</v>
      </c>
      <c r="AD42" s="19"/>
      <c r="AE42" s="108"/>
      <c r="AF42" s="111">
        <f t="shared" si="10"/>
        <v>9</v>
      </c>
      <c r="AG42" s="137">
        <f t="shared" si="11"/>
        <v>87.5</v>
      </c>
      <c r="AH42" s="137">
        <f t="shared" si="12"/>
        <v>8.75</v>
      </c>
      <c r="AI42" s="37">
        <v>100</v>
      </c>
      <c r="AJ42" s="19">
        <v>95</v>
      </c>
      <c r="AK42" s="19"/>
      <c r="AL42" s="19"/>
      <c r="AM42" s="19"/>
      <c r="AN42" s="108"/>
      <c r="AO42" s="111">
        <f t="shared" si="13"/>
        <v>195</v>
      </c>
      <c r="AP42" s="137">
        <f t="shared" si="14"/>
        <v>98.75</v>
      </c>
      <c r="AQ42" s="137">
        <f t="shared" si="15"/>
        <v>39.5</v>
      </c>
      <c r="AR42" s="36">
        <v>100</v>
      </c>
      <c r="AS42" s="107"/>
      <c r="AT42" s="111">
        <f t="shared" si="16"/>
        <v>100</v>
      </c>
      <c r="AU42" s="137">
        <f t="shared" si="17"/>
        <v>100</v>
      </c>
      <c r="AV42" s="137">
        <f t="shared" si="18"/>
        <v>50</v>
      </c>
      <c r="AW42" s="142">
        <f t="shared" si="25"/>
        <v>98.25</v>
      </c>
      <c r="AX42" s="69" t="str">
        <f t="shared" si="26"/>
        <v>PASSED</v>
      </c>
      <c r="AZ42" s="143">
        <f t="shared" si="19"/>
        <v>52.887499999999996</v>
      </c>
      <c r="BA42" s="146">
        <f t="shared" si="20"/>
        <v>39.300000000000004</v>
      </c>
      <c r="BB42" s="145">
        <f t="shared" si="21"/>
        <v>92.1875</v>
      </c>
      <c r="BC42" s="117" t="str">
        <f t="shared" si="22"/>
        <v>PASSED</v>
      </c>
    </row>
    <row r="43" spans="1:55" ht="16.8" thickTop="1" thickBot="1" x14ac:dyDescent="0.35">
      <c r="A43" s="19">
        <f>Attendance!A41</f>
        <v>34</v>
      </c>
      <c r="B43" s="20" t="str">
        <f>Attendance!B41</f>
        <v>Padagas, Karl Robyn Padrones</v>
      </c>
      <c r="C43" s="160">
        <f>Attendance!AD41</f>
        <v>3</v>
      </c>
      <c r="D43" s="135">
        <f t="shared" si="0"/>
        <v>55</v>
      </c>
      <c r="E43" s="134">
        <f t="shared" si="1"/>
        <v>2.75</v>
      </c>
      <c r="F43" s="168">
        <v>10</v>
      </c>
      <c r="G43" s="169"/>
      <c r="H43" s="170"/>
      <c r="I43" s="151">
        <f t="shared" si="23"/>
        <v>10</v>
      </c>
      <c r="J43" s="152">
        <f t="shared" si="2"/>
        <v>60</v>
      </c>
      <c r="K43" s="151">
        <f t="shared" si="3"/>
        <v>9</v>
      </c>
      <c r="L43" s="171">
        <v>0</v>
      </c>
      <c r="M43" s="169">
        <v>13</v>
      </c>
      <c r="N43" s="169"/>
      <c r="O43" s="170"/>
      <c r="P43" s="134">
        <f t="shared" si="4"/>
        <v>13</v>
      </c>
      <c r="Q43" s="133">
        <f t="shared" si="5"/>
        <v>71.666666666666671</v>
      </c>
      <c r="R43" s="134">
        <f t="shared" si="6"/>
        <v>21.5</v>
      </c>
      <c r="S43" s="172">
        <v>72</v>
      </c>
      <c r="T43" s="134">
        <f t="shared" si="7"/>
        <v>95</v>
      </c>
      <c r="U43" s="166">
        <f t="shared" si="8"/>
        <v>47.5</v>
      </c>
      <c r="V43" s="131">
        <f t="shared" si="9"/>
        <v>80.75</v>
      </c>
      <c r="W43" s="167" t="str">
        <f t="shared" si="24"/>
        <v>PASSED</v>
      </c>
      <c r="Z43" s="34">
        <v>3</v>
      </c>
      <c r="AA43" s="35">
        <v>3</v>
      </c>
      <c r="AB43" s="19">
        <v>0</v>
      </c>
      <c r="AC43" s="19">
        <v>3</v>
      </c>
      <c r="AD43" s="19"/>
      <c r="AE43" s="108"/>
      <c r="AF43" s="111">
        <f t="shared" si="10"/>
        <v>9</v>
      </c>
      <c r="AG43" s="137">
        <f t="shared" si="11"/>
        <v>87.5</v>
      </c>
      <c r="AH43" s="137">
        <f t="shared" si="12"/>
        <v>8.75</v>
      </c>
      <c r="AI43" s="37">
        <v>0</v>
      </c>
      <c r="AJ43" s="19">
        <v>95</v>
      </c>
      <c r="AK43" s="19"/>
      <c r="AL43" s="19"/>
      <c r="AM43" s="19"/>
      <c r="AN43" s="108"/>
      <c r="AO43" s="111">
        <f t="shared" si="13"/>
        <v>95</v>
      </c>
      <c r="AP43" s="137">
        <f t="shared" si="14"/>
        <v>73.75</v>
      </c>
      <c r="AQ43" s="137">
        <f t="shared" si="15"/>
        <v>29.5</v>
      </c>
      <c r="AR43" s="36">
        <v>50</v>
      </c>
      <c r="AS43" s="107"/>
      <c r="AT43" s="111">
        <f t="shared" si="16"/>
        <v>50</v>
      </c>
      <c r="AU43" s="137">
        <f t="shared" si="17"/>
        <v>75</v>
      </c>
      <c r="AV43" s="137">
        <f t="shared" si="18"/>
        <v>37.5</v>
      </c>
      <c r="AW43" s="139">
        <f t="shared" si="25"/>
        <v>75.75</v>
      </c>
      <c r="AX43" s="113" t="str">
        <f t="shared" si="26"/>
        <v>PASSED</v>
      </c>
      <c r="AZ43" s="143">
        <f t="shared" si="19"/>
        <v>48.449999999999996</v>
      </c>
      <c r="BA43" s="146">
        <f t="shared" si="20"/>
        <v>30.3</v>
      </c>
      <c r="BB43" s="145">
        <f t="shared" si="21"/>
        <v>78.75</v>
      </c>
      <c r="BC43" s="117" t="str">
        <f t="shared" si="22"/>
        <v>PASSED</v>
      </c>
    </row>
    <row r="44" spans="1:55" ht="16.8" thickTop="1" thickBot="1" x14ac:dyDescent="0.35">
      <c r="A44" s="19">
        <f>Attendance!A42</f>
        <v>35</v>
      </c>
      <c r="B44" s="20" t="str">
        <f>Attendance!B42</f>
        <v>Recarse, Princess Aubrey Grace Requita</v>
      </c>
      <c r="C44" s="160">
        <f>Attendance!AD42</f>
        <v>6</v>
      </c>
      <c r="D44" s="135">
        <f t="shared" si="0"/>
        <v>60</v>
      </c>
      <c r="E44" s="134">
        <f t="shared" si="1"/>
        <v>3</v>
      </c>
      <c r="F44" s="168">
        <v>10</v>
      </c>
      <c r="G44" s="169"/>
      <c r="H44" s="170"/>
      <c r="I44" s="151">
        <f t="shared" si="23"/>
        <v>10</v>
      </c>
      <c r="J44" s="152">
        <f t="shared" si="2"/>
        <v>60</v>
      </c>
      <c r="K44" s="151">
        <f t="shared" si="3"/>
        <v>9</v>
      </c>
      <c r="L44" s="171">
        <v>12</v>
      </c>
      <c r="M44" s="169">
        <v>12</v>
      </c>
      <c r="N44" s="169"/>
      <c r="O44" s="170"/>
      <c r="P44" s="134">
        <f t="shared" si="4"/>
        <v>24</v>
      </c>
      <c r="Q44" s="133">
        <f t="shared" si="5"/>
        <v>90</v>
      </c>
      <c r="R44" s="134">
        <f t="shared" si="6"/>
        <v>27</v>
      </c>
      <c r="S44" s="172">
        <v>64</v>
      </c>
      <c r="T44" s="134">
        <f t="shared" si="7"/>
        <v>90</v>
      </c>
      <c r="U44" s="166">
        <f t="shared" si="8"/>
        <v>45</v>
      </c>
      <c r="V44" s="131">
        <f t="shared" si="9"/>
        <v>84</v>
      </c>
      <c r="W44" s="167" t="str">
        <f t="shared" si="24"/>
        <v>PASSED</v>
      </c>
      <c r="Z44" s="34">
        <v>3</v>
      </c>
      <c r="AA44" s="35">
        <v>3</v>
      </c>
      <c r="AB44" s="19">
        <v>3</v>
      </c>
      <c r="AC44" s="19">
        <v>3</v>
      </c>
      <c r="AD44" s="19"/>
      <c r="AE44" s="108"/>
      <c r="AF44" s="111">
        <f t="shared" si="10"/>
        <v>12</v>
      </c>
      <c r="AG44" s="137">
        <f t="shared" si="11"/>
        <v>100</v>
      </c>
      <c r="AH44" s="137">
        <f t="shared" si="12"/>
        <v>10</v>
      </c>
      <c r="AI44" s="37">
        <v>100</v>
      </c>
      <c r="AJ44" s="19">
        <v>95</v>
      </c>
      <c r="AK44" s="19"/>
      <c r="AL44" s="19"/>
      <c r="AM44" s="19"/>
      <c r="AN44" s="108"/>
      <c r="AO44" s="111">
        <f t="shared" si="13"/>
        <v>195</v>
      </c>
      <c r="AP44" s="137">
        <f t="shared" si="14"/>
        <v>98.75</v>
      </c>
      <c r="AQ44" s="137">
        <f t="shared" si="15"/>
        <v>39.5</v>
      </c>
      <c r="AR44" s="36">
        <v>90</v>
      </c>
      <c r="AS44" s="107"/>
      <c r="AT44" s="111">
        <f t="shared" si="16"/>
        <v>90</v>
      </c>
      <c r="AU44" s="137">
        <f t="shared" si="17"/>
        <v>95</v>
      </c>
      <c r="AV44" s="137">
        <f t="shared" si="18"/>
        <v>47.5</v>
      </c>
      <c r="AW44" s="140">
        <f t="shared" si="25"/>
        <v>97</v>
      </c>
      <c r="AX44" s="114" t="str">
        <f t="shared" si="26"/>
        <v>PASSED</v>
      </c>
      <c r="AZ44" s="143">
        <f t="shared" si="19"/>
        <v>50.4</v>
      </c>
      <c r="BA44" s="146">
        <f t="shared" si="20"/>
        <v>38.800000000000004</v>
      </c>
      <c r="BB44" s="145">
        <f t="shared" si="21"/>
        <v>89.2</v>
      </c>
      <c r="BC44" s="117" t="str">
        <f t="shared" si="22"/>
        <v>PASSED</v>
      </c>
    </row>
    <row r="45" spans="1:55" ht="16.8" thickTop="1" thickBot="1" x14ac:dyDescent="0.35">
      <c r="A45" s="19">
        <f>Attendance!A43</f>
        <v>36</v>
      </c>
      <c r="B45" s="20" t="str">
        <f>Attendance!B43</f>
        <v>Sali, Kim Amher Esteban</v>
      </c>
      <c r="C45" s="160">
        <f>Attendance!AD43</f>
        <v>10</v>
      </c>
      <c r="D45" s="135">
        <f t="shared" si="0"/>
        <v>66.666666666666657</v>
      </c>
      <c r="E45" s="134">
        <f t="shared" si="1"/>
        <v>3.333333333333333</v>
      </c>
      <c r="F45" s="168">
        <v>50</v>
      </c>
      <c r="G45" s="169"/>
      <c r="H45" s="170"/>
      <c r="I45" s="151">
        <f t="shared" si="23"/>
        <v>50</v>
      </c>
      <c r="J45" s="152">
        <f t="shared" si="2"/>
        <v>100</v>
      </c>
      <c r="K45" s="151">
        <f t="shared" si="3"/>
        <v>15</v>
      </c>
      <c r="L45" s="171">
        <v>12</v>
      </c>
      <c r="M45" s="169">
        <v>12</v>
      </c>
      <c r="N45" s="169"/>
      <c r="O45" s="170"/>
      <c r="P45" s="134">
        <f t="shared" si="4"/>
        <v>24</v>
      </c>
      <c r="Q45" s="133">
        <f t="shared" si="5"/>
        <v>90</v>
      </c>
      <c r="R45" s="134">
        <f t="shared" si="6"/>
        <v>27</v>
      </c>
      <c r="S45" s="172">
        <v>75</v>
      </c>
      <c r="T45" s="134">
        <f t="shared" si="7"/>
        <v>96.875</v>
      </c>
      <c r="U45" s="166">
        <f t="shared" si="8"/>
        <v>48.4375</v>
      </c>
      <c r="V45" s="131">
        <f t="shared" si="9"/>
        <v>93.770833333333329</v>
      </c>
      <c r="W45" s="167" t="str">
        <f t="shared" si="24"/>
        <v>PASSED</v>
      </c>
      <c r="Z45" s="34">
        <v>3</v>
      </c>
      <c r="AA45" s="35">
        <v>3</v>
      </c>
      <c r="AB45" s="19">
        <v>3</v>
      </c>
      <c r="AC45" s="19">
        <v>3</v>
      </c>
      <c r="AD45" s="19"/>
      <c r="AE45" s="108"/>
      <c r="AF45" s="111">
        <f t="shared" si="10"/>
        <v>12</v>
      </c>
      <c r="AG45" s="137">
        <f t="shared" si="11"/>
        <v>100</v>
      </c>
      <c r="AH45" s="137">
        <f t="shared" si="12"/>
        <v>10</v>
      </c>
      <c r="AI45" s="37">
        <v>100</v>
      </c>
      <c r="AJ45" s="19">
        <v>100</v>
      </c>
      <c r="AK45" s="19"/>
      <c r="AL45" s="19"/>
      <c r="AM45" s="19"/>
      <c r="AN45" s="108"/>
      <c r="AO45" s="111">
        <f t="shared" si="13"/>
        <v>200</v>
      </c>
      <c r="AP45" s="137">
        <f t="shared" si="14"/>
        <v>100</v>
      </c>
      <c r="AQ45" s="137">
        <f t="shared" si="15"/>
        <v>40</v>
      </c>
      <c r="AR45" s="36">
        <v>90</v>
      </c>
      <c r="AS45" s="107"/>
      <c r="AT45" s="111">
        <f t="shared" si="16"/>
        <v>90</v>
      </c>
      <c r="AU45" s="137">
        <f t="shared" si="17"/>
        <v>95</v>
      </c>
      <c r="AV45" s="137">
        <f t="shared" si="18"/>
        <v>47.5</v>
      </c>
      <c r="AW45" s="139">
        <f t="shared" si="25"/>
        <v>97.5</v>
      </c>
      <c r="AX45" s="113" t="str">
        <f t="shared" si="26"/>
        <v>PASSED</v>
      </c>
      <c r="AZ45" s="143">
        <f t="shared" si="19"/>
        <v>56.262499999999996</v>
      </c>
      <c r="BA45" s="146">
        <f t="shared" si="20"/>
        <v>39</v>
      </c>
      <c r="BB45" s="145">
        <f t="shared" si="21"/>
        <v>95.262499999999989</v>
      </c>
      <c r="BC45" s="117" t="str">
        <f t="shared" si="22"/>
        <v>PASSED</v>
      </c>
    </row>
    <row r="46" spans="1:55" ht="16.8" thickTop="1" thickBot="1" x14ac:dyDescent="0.35">
      <c r="A46" s="19">
        <f>Attendance!A44</f>
        <v>37</v>
      </c>
      <c r="B46" s="20" t="str">
        <f>Attendance!B44</f>
        <v>Saludares, Etherlyne Faith Esparas</v>
      </c>
      <c r="C46" s="160">
        <f>Attendance!AD44</f>
        <v>9</v>
      </c>
      <c r="D46" s="135">
        <f t="shared" si="0"/>
        <v>65</v>
      </c>
      <c r="E46" s="134">
        <f t="shared" si="1"/>
        <v>3.25</v>
      </c>
      <c r="F46" s="168">
        <v>50</v>
      </c>
      <c r="G46" s="169"/>
      <c r="H46" s="170"/>
      <c r="I46" s="151">
        <f t="shared" si="23"/>
        <v>50</v>
      </c>
      <c r="J46" s="152">
        <f t="shared" si="2"/>
        <v>100</v>
      </c>
      <c r="K46" s="151">
        <f t="shared" si="3"/>
        <v>15</v>
      </c>
      <c r="L46" s="171">
        <v>14</v>
      </c>
      <c r="M46" s="169">
        <v>14</v>
      </c>
      <c r="N46" s="169"/>
      <c r="O46" s="170"/>
      <c r="P46" s="134">
        <f t="shared" si="4"/>
        <v>28</v>
      </c>
      <c r="Q46" s="133">
        <f t="shared" si="5"/>
        <v>96.666666666666657</v>
      </c>
      <c r="R46" s="134">
        <f t="shared" si="6"/>
        <v>28.999999999999996</v>
      </c>
      <c r="S46" s="172">
        <v>75</v>
      </c>
      <c r="T46" s="134">
        <f t="shared" si="7"/>
        <v>96.875</v>
      </c>
      <c r="U46" s="166">
        <f t="shared" si="8"/>
        <v>48.4375</v>
      </c>
      <c r="V46" s="131">
        <f t="shared" si="9"/>
        <v>95.6875</v>
      </c>
      <c r="W46" s="167" t="str">
        <f t="shared" si="24"/>
        <v>PASSED</v>
      </c>
      <c r="Z46" s="34">
        <v>3</v>
      </c>
      <c r="AA46" s="35">
        <v>3</v>
      </c>
      <c r="AB46" s="19">
        <v>3</v>
      </c>
      <c r="AC46" s="19">
        <v>3</v>
      </c>
      <c r="AD46" s="19"/>
      <c r="AE46" s="108"/>
      <c r="AF46" s="111">
        <f t="shared" si="10"/>
        <v>12</v>
      </c>
      <c r="AG46" s="137">
        <f t="shared" si="11"/>
        <v>100</v>
      </c>
      <c r="AH46" s="137">
        <f t="shared" si="12"/>
        <v>10</v>
      </c>
      <c r="AI46" s="37">
        <v>100</v>
      </c>
      <c r="AJ46" s="19">
        <v>95</v>
      </c>
      <c r="AK46" s="19"/>
      <c r="AL46" s="19"/>
      <c r="AM46" s="19"/>
      <c r="AN46" s="108"/>
      <c r="AO46" s="111">
        <f t="shared" si="13"/>
        <v>195</v>
      </c>
      <c r="AP46" s="137">
        <f t="shared" si="14"/>
        <v>98.75</v>
      </c>
      <c r="AQ46" s="137">
        <f t="shared" si="15"/>
        <v>39.5</v>
      </c>
      <c r="AR46" s="36">
        <v>90</v>
      </c>
      <c r="AS46" s="107"/>
      <c r="AT46" s="111">
        <f t="shared" si="16"/>
        <v>90</v>
      </c>
      <c r="AU46" s="137">
        <f t="shared" si="17"/>
        <v>95</v>
      </c>
      <c r="AV46" s="137">
        <f t="shared" si="18"/>
        <v>47.5</v>
      </c>
      <c r="AW46" s="141">
        <f t="shared" si="25"/>
        <v>97</v>
      </c>
      <c r="AX46" s="115" t="str">
        <f t="shared" si="26"/>
        <v>PASSED</v>
      </c>
      <c r="AZ46" s="143">
        <f t="shared" si="19"/>
        <v>57.412500000000001</v>
      </c>
      <c r="BA46" s="146">
        <f t="shared" si="20"/>
        <v>38.800000000000004</v>
      </c>
      <c r="BB46" s="145">
        <f t="shared" si="21"/>
        <v>96.212500000000006</v>
      </c>
      <c r="BC46" s="117" t="str">
        <f t="shared" si="22"/>
        <v>PASSED</v>
      </c>
    </row>
    <row r="47" spans="1:55" ht="16.8" thickTop="1" thickBot="1" x14ac:dyDescent="0.35">
      <c r="A47" s="19">
        <f>Attendance!A45</f>
        <v>38</v>
      </c>
      <c r="B47" s="20" t="str">
        <f>Attendance!B45</f>
        <v>Sanchez, Neil Jimson Casas</v>
      </c>
      <c r="C47" s="160">
        <f>Attendance!AD45</f>
        <v>4</v>
      </c>
      <c r="D47" s="135">
        <f t="shared" si="0"/>
        <v>56.666666666666664</v>
      </c>
      <c r="E47" s="134">
        <f t="shared" si="1"/>
        <v>2.8333333333333335</v>
      </c>
      <c r="F47" s="168">
        <v>50</v>
      </c>
      <c r="G47" s="169"/>
      <c r="H47" s="170"/>
      <c r="I47" s="151">
        <f t="shared" si="23"/>
        <v>50</v>
      </c>
      <c r="J47" s="152">
        <f t="shared" si="2"/>
        <v>100</v>
      </c>
      <c r="K47" s="151">
        <f t="shared" si="3"/>
        <v>15</v>
      </c>
      <c r="L47" s="171">
        <v>0</v>
      </c>
      <c r="M47" s="169">
        <v>12</v>
      </c>
      <c r="N47" s="169"/>
      <c r="O47" s="170"/>
      <c r="P47" s="134">
        <f t="shared" si="4"/>
        <v>12</v>
      </c>
      <c r="Q47" s="133">
        <f t="shared" si="5"/>
        <v>70</v>
      </c>
      <c r="R47" s="134">
        <f t="shared" si="6"/>
        <v>21</v>
      </c>
      <c r="S47" s="172">
        <v>40</v>
      </c>
      <c r="T47" s="134">
        <f t="shared" si="7"/>
        <v>75</v>
      </c>
      <c r="U47" s="166">
        <f t="shared" si="8"/>
        <v>37.5</v>
      </c>
      <c r="V47" s="131">
        <f t="shared" si="9"/>
        <v>76.333333333333329</v>
      </c>
      <c r="W47" s="167" t="str">
        <f t="shared" si="24"/>
        <v>PASSED</v>
      </c>
      <c r="Z47" s="34">
        <v>3</v>
      </c>
      <c r="AA47" s="35">
        <v>3</v>
      </c>
      <c r="AB47" s="19">
        <v>3</v>
      </c>
      <c r="AC47" s="19">
        <v>3</v>
      </c>
      <c r="AD47" s="19"/>
      <c r="AE47" s="108"/>
      <c r="AF47" s="111">
        <f t="shared" si="10"/>
        <v>12</v>
      </c>
      <c r="AG47" s="137">
        <f t="shared" si="11"/>
        <v>100</v>
      </c>
      <c r="AH47" s="137">
        <f t="shared" si="12"/>
        <v>10</v>
      </c>
      <c r="AI47" s="37">
        <v>85</v>
      </c>
      <c r="AJ47" s="19">
        <v>100</v>
      </c>
      <c r="AK47" s="19"/>
      <c r="AL47" s="19"/>
      <c r="AM47" s="19"/>
      <c r="AN47" s="108"/>
      <c r="AO47" s="111">
        <f t="shared" si="13"/>
        <v>185</v>
      </c>
      <c r="AP47" s="137">
        <f t="shared" si="14"/>
        <v>96.25</v>
      </c>
      <c r="AQ47" s="137">
        <f t="shared" si="15"/>
        <v>38.5</v>
      </c>
      <c r="AR47" s="36">
        <v>90</v>
      </c>
      <c r="AS47" s="107"/>
      <c r="AT47" s="111">
        <f t="shared" si="16"/>
        <v>90</v>
      </c>
      <c r="AU47" s="137">
        <f t="shared" si="17"/>
        <v>95</v>
      </c>
      <c r="AV47" s="137">
        <f t="shared" si="18"/>
        <v>47.5</v>
      </c>
      <c r="AW47" s="140">
        <f t="shared" si="25"/>
        <v>96</v>
      </c>
      <c r="AX47" s="114" t="str">
        <f t="shared" si="26"/>
        <v>PASSED</v>
      </c>
      <c r="AZ47" s="143">
        <f t="shared" si="19"/>
        <v>45.8</v>
      </c>
      <c r="BA47" s="146">
        <f t="shared" si="20"/>
        <v>38.400000000000006</v>
      </c>
      <c r="BB47" s="145">
        <f t="shared" si="21"/>
        <v>84.2</v>
      </c>
      <c r="BC47" s="117" t="str">
        <f t="shared" si="22"/>
        <v>PASSED</v>
      </c>
    </row>
    <row r="48" spans="1:55" ht="16.8" thickTop="1" thickBot="1" x14ac:dyDescent="0.35">
      <c r="A48" s="19">
        <f>Attendance!A46</f>
        <v>39</v>
      </c>
      <c r="B48" s="20" t="str">
        <f>Attendance!B46</f>
        <v>Silagan, Thyron Cabiles</v>
      </c>
      <c r="C48" s="160">
        <f>Attendance!AD46</f>
        <v>9</v>
      </c>
      <c r="D48" s="135">
        <f t="shared" si="0"/>
        <v>65</v>
      </c>
      <c r="E48" s="134">
        <f t="shared" si="1"/>
        <v>3.25</v>
      </c>
      <c r="F48" s="168">
        <v>50</v>
      </c>
      <c r="G48" s="169"/>
      <c r="H48" s="170"/>
      <c r="I48" s="151">
        <f t="shared" si="23"/>
        <v>50</v>
      </c>
      <c r="J48" s="152">
        <f t="shared" si="2"/>
        <v>100</v>
      </c>
      <c r="K48" s="151">
        <f t="shared" si="3"/>
        <v>15</v>
      </c>
      <c r="L48" s="171">
        <v>14</v>
      </c>
      <c r="M48" s="169">
        <v>14</v>
      </c>
      <c r="N48" s="169"/>
      <c r="O48" s="170"/>
      <c r="P48" s="134">
        <f t="shared" si="4"/>
        <v>28</v>
      </c>
      <c r="Q48" s="133">
        <f t="shared" si="5"/>
        <v>96.666666666666657</v>
      </c>
      <c r="R48" s="134">
        <f t="shared" si="6"/>
        <v>28.999999999999996</v>
      </c>
      <c r="S48" s="172">
        <v>74</v>
      </c>
      <c r="T48" s="134">
        <f t="shared" si="7"/>
        <v>96.25</v>
      </c>
      <c r="U48" s="166">
        <f t="shared" si="8"/>
        <v>48.125</v>
      </c>
      <c r="V48" s="131">
        <f t="shared" si="9"/>
        <v>95.375</v>
      </c>
      <c r="W48" s="167" t="str">
        <f t="shared" si="24"/>
        <v>PASSED</v>
      </c>
      <c r="Z48" s="34">
        <v>3</v>
      </c>
      <c r="AA48" s="35">
        <v>3</v>
      </c>
      <c r="AB48" s="19">
        <v>3</v>
      </c>
      <c r="AC48" s="19">
        <v>3</v>
      </c>
      <c r="AD48" s="19"/>
      <c r="AE48" s="108"/>
      <c r="AF48" s="111">
        <f t="shared" si="10"/>
        <v>12</v>
      </c>
      <c r="AG48" s="137">
        <f t="shared" si="11"/>
        <v>100</v>
      </c>
      <c r="AH48" s="137">
        <f t="shared" si="12"/>
        <v>10</v>
      </c>
      <c r="AI48" s="37">
        <v>100</v>
      </c>
      <c r="AJ48" s="19">
        <v>95</v>
      </c>
      <c r="AK48" s="19"/>
      <c r="AL48" s="19"/>
      <c r="AM48" s="19"/>
      <c r="AN48" s="108"/>
      <c r="AO48" s="111">
        <f t="shared" si="13"/>
        <v>195</v>
      </c>
      <c r="AP48" s="137">
        <f t="shared" si="14"/>
        <v>98.75</v>
      </c>
      <c r="AQ48" s="137">
        <f t="shared" si="15"/>
        <v>39.5</v>
      </c>
      <c r="AR48" s="36">
        <v>90</v>
      </c>
      <c r="AS48" s="107"/>
      <c r="AT48" s="111">
        <f t="shared" si="16"/>
        <v>90</v>
      </c>
      <c r="AU48" s="137">
        <f t="shared" si="17"/>
        <v>95</v>
      </c>
      <c r="AV48" s="137">
        <f t="shared" si="18"/>
        <v>47.5</v>
      </c>
      <c r="AW48" s="139">
        <f t="shared" si="25"/>
        <v>97</v>
      </c>
      <c r="AX48" s="113" t="str">
        <f t="shared" si="26"/>
        <v>PASSED</v>
      </c>
      <c r="AZ48" s="143">
        <f t="shared" si="19"/>
        <v>57.225000000000001</v>
      </c>
      <c r="BA48" s="146">
        <f t="shared" si="20"/>
        <v>38.800000000000004</v>
      </c>
      <c r="BB48" s="145">
        <f t="shared" si="21"/>
        <v>96.025000000000006</v>
      </c>
      <c r="BC48" s="117" t="str">
        <f t="shared" si="22"/>
        <v>PASSED</v>
      </c>
    </row>
    <row r="49" spans="1:55" ht="16.8" thickTop="1" thickBot="1" x14ac:dyDescent="0.35">
      <c r="A49" s="19">
        <f>Attendance!A47</f>
        <v>40</v>
      </c>
      <c r="B49" s="20" t="str">
        <f>Attendance!B47</f>
        <v>Suerte, Khent Briane Orcasitas</v>
      </c>
      <c r="C49" s="160">
        <f>Attendance!AD47</f>
        <v>7</v>
      </c>
      <c r="D49" s="135">
        <f t="shared" si="0"/>
        <v>61.666666666666664</v>
      </c>
      <c r="E49" s="134">
        <f t="shared" si="1"/>
        <v>3.0833333333333335</v>
      </c>
      <c r="F49" s="168">
        <v>50</v>
      </c>
      <c r="G49" s="169"/>
      <c r="H49" s="170"/>
      <c r="I49" s="151">
        <f t="shared" si="23"/>
        <v>50</v>
      </c>
      <c r="J49" s="152">
        <f t="shared" si="2"/>
        <v>100</v>
      </c>
      <c r="K49" s="151">
        <f t="shared" si="3"/>
        <v>15</v>
      </c>
      <c r="L49" s="171">
        <v>0</v>
      </c>
      <c r="M49" s="169">
        <v>0</v>
      </c>
      <c r="N49" s="169"/>
      <c r="O49" s="170"/>
      <c r="P49" s="134">
        <f t="shared" si="4"/>
        <v>0</v>
      </c>
      <c r="Q49" s="133">
        <f t="shared" si="5"/>
        <v>50</v>
      </c>
      <c r="R49" s="134">
        <f t="shared" si="6"/>
        <v>15</v>
      </c>
      <c r="S49" s="172">
        <v>62</v>
      </c>
      <c r="T49" s="134">
        <f t="shared" si="7"/>
        <v>88.75</v>
      </c>
      <c r="U49" s="166">
        <f t="shared" si="8"/>
        <v>44.375</v>
      </c>
      <c r="V49" s="131">
        <f t="shared" si="9"/>
        <v>77.458333333333329</v>
      </c>
      <c r="W49" s="167" t="str">
        <f t="shared" si="24"/>
        <v>PASSED</v>
      </c>
      <c r="Z49" s="34">
        <v>3</v>
      </c>
      <c r="AA49" s="35">
        <v>3</v>
      </c>
      <c r="AB49" s="19">
        <v>0</v>
      </c>
      <c r="AC49" s="19">
        <v>0</v>
      </c>
      <c r="AD49" s="19"/>
      <c r="AE49" s="108"/>
      <c r="AF49" s="111">
        <f t="shared" si="10"/>
        <v>6</v>
      </c>
      <c r="AG49" s="137">
        <f t="shared" si="11"/>
        <v>75</v>
      </c>
      <c r="AH49" s="137">
        <f t="shared" si="12"/>
        <v>7.5</v>
      </c>
      <c r="AI49" s="37">
        <v>85</v>
      </c>
      <c r="AJ49" s="19">
        <v>0</v>
      </c>
      <c r="AK49" s="19"/>
      <c r="AL49" s="19"/>
      <c r="AM49" s="19"/>
      <c r="AN49" s="108"/>
      <c r="AO49" s="111">
        <f t="shared" si="13"/>
        <v>85</v>
      </c>
      <c r="AP49" s="137">
        <f t="shared" si="14"/>
        <v>71.25</v>
      </c>
      <c r="AQ49" s="137">
        <f t="shared" si="15"/>
        <v>28.5</v>
      </c>
      <c r="AR49" s="36">
        <v>50</v>
      </c>
      <c r="AS49" s="107"/>
      <c r="AT49" s="111">
        <f t="shared" si="16"/>
        <v>50</v>
      </c>
      <c r="AU49" s="137">
        <f t="shared" si="17"/>
        <v>75</v>
      </c>
      <c r="AV49" s="137">
        <f t="shared" si="18"/>
        <v>37.5</v>
      </c>
      <c r="AW49" s="140">
        <f t="shared" si="25"/>
        <v>73.5</v>
      </c>
      <c r="AX49" s="114" t="str">
        <f t="shared" si="26"/>
        <v>FAILED</v>
      </c>
      <c r="AZ49" s="143">
        <f t="shared" si="19"/>
        <v>46.474999999999994</v>
      </c>
      <c r="BA49" s="146">
        <f t="shared" si="20"/>
        <v>29.400000000000002</v>
      </c>
      <c r="BB49" s="145">
        <f t="shared" si="21"/>
        <v>75.875</v>
      </c>
      <c r="BC49" s="117" t="str">
        <f t="shared" si="22"/>
        <v>PASSED</v>
      </c>
    </row>
    <row r="50" spans="1:55" ht="16.8" thickTop="1" thickBot="1" x14ac:dyDescent="0.35">
      <c r="A50" s="19">
        <f>Attendance!A48</f>
        <v>41</v>
      </c>
      <c r="B50" s="20" t="str">
        <f>Attendance!B48</f>
        <v>Sumugat, Edgaro Jr. Cordevilla</v>
      </c>
      <c r="C50" s="160">
        <f>Attendance!AD48</f>
        <v>6</v>
      </c>
      <c r="D50" s="135">
        <f t="shared" si="0"/>
        <v>60</v>
      </c>
      <c r="E50" s="134">
        <f t="shared" si="1"/>
        <v>3</v>
      </c>
      <c r="F50" s="168">
        <v>25</v>
      </c>
      <c r="G50" s="169"/>
      <c r="H50" s="170"/>
      <c r="I50" s="151">
        <f t="shared" si="23"/>
        <v>25</v>
      </c>
      <c r="J50" s="152">
        <f t="shared" si="2"/>
        <v>75</v>
      </c>
      <c r="K50" s="151">
        <f t="shared" si="3"/>
        <v>11.25</v>
      </c>
      <c r="L50" s="171">
        <v>0</v>
      </c>
      <c r="M50" s="169">
        <v>14</v>
      </c>
      <c r="N50" s="169"/>
      <c r="O50" s="170"/>
      <c r="P50" s="134">
        <f t="shared" si="4"/>
        <v>14</v>
      </c>
      <c r="Q50" s="133">
        <f t="shared" si="5"/>
        <v>73.333333333333329</v>
      </c>
      <c r="R50" s="134">
        <f t="shared" si="6"/>
        <v>21.999999999999996</v>
      </c>
      <c r="S50" s="172">
        <v>67</v>
      </c>
      <c r="T50" s="134">
        <f t="shared" si="7"/>
        <v>91.875</v>
      </c>
      <c r="U50" s="166">
        <f t="shared" si="8"/>
        <v>45.9375</v>
      </c>
      <c r="V50" s="131">
        <f t="shared" si="9"/>
        <v>82.1875</v>
      </c>
      <c r="W50" s="167" t="str">
        <f t="shared" si="24"/>
        <v>PASSED</v>
      </c>
      <c r="Z50" s="34">
        <v>3</v>
      </c>
      <c r="AA50" s="35">
        <v>3</v>
      </c>
      <c r="AB50" s="19">
        <v>0</v>
      </c>
      <c r="AC50" s="19">
        <v>3</v>
      </c>
      <c r="AD50" s="19"/>
      <c r="AE50" s="108"/>
      <c r="AF50" s="111">
        <f t="shared" si="10"/>
        <v>9</v>
      </c>
      <c r="AG50" s="137">
        <f t="shared" si="11"/>
        <v>87.5</v>
      </c>
      <c r="AH50" s="137">
        <f t="shared" si="12"/>
        <v>8.75</v>
      </c>
      <c r="AI50" s="37">
        <v>0</v>
      </c>
      <c r="AJ50" s="19">
        <v>75</v>
      </c>
      <c r="AK50" s="19"/>
      <c r="AL50" s="19"/>
      <c r="AM50" s="19"/>
      <c r="AN50" s="108"/>
      <c r="AO50" s="111">
        <f t="shared" si="13"/>
        <v>75</v>
      </c>
      <c r="AP50" s="137">
        <f t="shared" si="14"/>
        <v>68.75</v>
      </c>
      <c r="AQ50" s="137">
        <f t="shared" si="15"/>
        <v>27.5</v>
      </c>
      <c r="AR50" s="36">
        <v>50</v>
      </c>
      <c r="AS50" s="107"/>
      <c r="AT50" s="111">
        <f t="shared" si="16"/>
        <v>50</v>
      </c>
      <c r="AU50" s="137">
        <f t="shared" si="17"/>
        <v>75</v>
      </c>
      <c r="AV50" s="137">
        <f t="shared" si="18"/>
        <v>37.5</v>
      </c>
      <c r="AW50" s="139">
        <f t="shared" si="25"/>
        <v>73.75</v>
      </c>
      <c r="AX50" s="113" t="str">
        <f t="shared" si="26"/>
        <v>FAILED</v>
      </c>
      <c r="AZ50" s="143">
        <f t="shared" si="19"/>
        <v>49.3125</v>
      </c>
      <c r="BA50" s="146">
        <f t="shared" si="20"/>
        <v>29.5</v>
      </c>
      <c r="BB50" s="145">
        <f t="shared" si="21"/>
        <v>78.8125</v>
      </c>
      <c r="BC50" s="117" t="str">
        <f t="shared" si="22"/>
        <v>PASSED</v>
      </c>
    </row>
    <row r="51" spans="1:55" ht="16.8" thickTop="1" thickBot="1" x14ac:dyDescent="0.35">
      <c r="A51" s="19">
        <f>Attendance!A49</f>
        <v>42</v>
      </c>
      <c r="B51" s="20" t="str">
        <f>Attendance!B49</f>
        <v>Tampus, Cale Janine Bringas</v>
      </c>
      <c r="C51" s="160">
        <f>Attendance!AD49</f>
        <v>9</v>
      </c>
      <c r="D51" s="135">
        <f t="shared" si="0"/>
        <v>65</v>
      </c>
      <c r="E51" s="134">
        <f t="shared" si="1"/>
        <v>3.25</v>
      </c>
      <c r="F51" s="168">
        <v>50</v>
      </c>
      <c r="G51" s="169"/>
      <c r="H51" s="170"/>
      <c r="I51" s="151">
        <f t="shared" si="23"/>
        <v>50</v>
      </c>
      <c r="J51" s="152">
        <f t="shared" si="2"/>
        <v>100</v>
      </c>
      <c r="K51" s="151">
        <f t="shared" si="3"/>
        <v>15</v>
      </c>
      <c r="L51" s="171">
        <v>0</v>
      </c>
      <c r="M51" s="169">
        <v>15</v>
      </c>
      <c r="N51" s="169"/>
      <c r="O51" s="170"/>
      <c r="P51" s="134">
        <f t="shared" si="4"/>
        <v>15</v>
      </c>
      <c r="Q51" s="133">
        <f t="shared" si="5"/>
        <v>75</v>
      </c>
      <c r="R51" s="134">
        <f t="shared" si="6"/>
        <v>22.5</v>
      </c>
      <c r="S51" s="172">
        <v>64</v>
      </c>
      <c r="T51" s="134">
        <f t="shared" si="7"/>
        <v>90</v>
      </c>
      <c r="U51" s="166">
        <f t="shared" si="8"/>
        <v>45</v>
      </c>
      <c r="V51" s="131">
        <f t="shared" si="9"/>
        <v>85.75</v>
      </c>
      <c r="W51" s="167" t="str">
        <f t="shared" si="24"/>
        <v>PASSED</v>
      </c>
      <c r="Z51" s="34">
        <v>3</v>
      </c>
      <c r="AA51" s="35">
        <v>3</v>
      </c>
      <c r="AB51" s="19">
        <v>0</v>
      </c>
      <c r="AC51" s="19">
        <v>3</v>
      </c>
      <c r="AD51" s="19"/>
      <c r="AE51" s="108"/>
      <c r="AF51" s="111">
        <f t="shared" si="10"/>
        <v>9</v>
      </c>
      <c r="AG51" s="137">
        <f t="shared" si="11"/>
        <v>87.5</v>
      </c>
      <c r="AH51" s="137">
        <f t="shared" si="12"/>
        <v>8.75</v>
      </c>
      <c r="AI51" s="37">
        <v>100</v>
      </c>
      <c r="AJ51" s="19">
        <v>100</v>
      </c>
      <c r="AK51" s="19"/>
      <c r="AL51" s="19"/>
      <c r="AM51" s="19"/>
      <c r="AN51" s="108"/>
      <c r="AO51" s="111">
        <f t="shared" si="13"/>
        <v>200</v>
      </c>
      <c r="AP51" s="137">
        <f t="shared" si="14"/>
        <v>100</v>
      </c>
      <c r="AQ51" s="137">
        <f t="shared" si="15"/>
        <v>40</v>
      </c>
      <c r="AR51" s="36">
        <v>90</v>
      </c>
      <c r="AS51" s="107"/>
      <c r="AT51" s="111">
        <f t="shared" si="16"/>
        <v>90</v>
      </c>
      <c r="AU51" s="137">
        <f t="shared" si="17"/>
        <v>95</v>
      </c>
      <c r="AV51" s="137">
        <f t="shared" si="18"/>
        <v>47.5</v>
      </c>
      <c r="AW51" s="140">
        <f t="shared" si="25"/>
        <v>96.25</v>
      </c>
      <c r="AX51" s="114" t="str">
        <f t="shared" si="26"/>
        <v>PASSED</v>
      </c>
      <c r="AZ51" s="143">
        <f t="shared" si="19"/>
        <v>51.449999999999996</v>
      </c>
      <c r="BA51" s="146">
        <f t="shared" si="20"/>
        <v>38.5</v>
      </c>
      <c r="BB51" s="145">
        <f t="shared" si="21"/>
        <v>89.949999999999989</v>
      </c>
      <c r="BC51" s="117" t="str">
        <f t="shared" si="22"/>
        <v>PASSED</v>
      </c>
    </row>
    <row r="52" spans="1:55" ht="16.8" thickTop="1" thickBot="1" x14ac:dyDescent="0.35">
      <c r="A52" s="19">
        <f>Attendance!A50</f>
        <v>43</v>
      </c>
      <c r="B52" s="20" t="str">
        <f>Attendance!B50</f>
        <v>Trespeses, Reykarl Pendon</v>
      </c>
      <c r="C52" s="173">
        <f>Attendance!AD50</f>
        <v>2</v>
      </c>
      <c r="D52" s="135">
        <f t="shared" si="0"/>
        <v>53.333333333333336</v>
      </c>
      <c r="E52" s="134">
        <f t="shared" si="1"/>
        <v>2.666666666666667</v>
      </c>
      <c r="F52" s="168">
        <v>10</v>
      </c>
      <c r="G52" s="169"/>
      <c r="H52" s="170"/>
      <c r="I52" s="151">
        <f t="shared" si="23"/>
        <v>10</v>
      </c>
      <c r="J52" s="152">
        <f t="shared" si="2"/>
        <v>60</v>
      </c>
      <c r="K52" s="151">
        <f t="shared" si="3"/>
        <v>9</v>
      </c>
      <c r="L52" s="171">
        <v>0</v>
      </c>
      <c r="M52" s="169">
        <v>0</v>
      </c>
      <c r="N52" s="169"/>
      <c r="O52" s="170"/>
      <c r="P52" s="134">
        <f t="shared" si="4"/>
        <v>0</v>
      </c>
      <c r="Q52" s="133">
        <f t="shared" si="5"/>
        <v>50</v>
      </c>
      <c r="R52" s="134">
        <f t="shared" si="6"/>
        <v>15</v>
      </c>
      <c r="S52" s="172">
        <v>61</v>
      </c>
      <c r="T52" s="134">
        <f t="shared" si="7"/>
        <v>88.125</v>
      </c>
      <c r="U52" s="166">
        <f t="shared" si="8"/>
        <v>44.0625</v>
      </c>
      <c r="V52" s="131">
        <f t="shared" si="9"/>
        <v>70.729166666666671</v>
      </c>
      <c r="W52" s="167" t="str">
        <f t="shared" si="24"/>
        <v>FAILED</v>
      </c>
      <c r="Z52" s="34">
        <v>3</v>
      </c>
      <c r="AA52" s="35">
        <v>3</v>
      </c>
      <c r="AB52" s="19">
        <v>0</v>
      </c>
      <c r="AC52" s="19">
        <v>0</v>
      </c>
      <c r="AD52" s="19"/>
      <c r="AE52" s="108"/>
      <c r="AF52" s="111">
        <f t="shared" si="10"/>
        <v>6</v>
      </c>
      <c r="AG52" s="137">
        <f t="shared" si="11"/>
        <v>75</v>
      </c>
      <c r="AH52" s="137">
        <f t="shared" si="12"/>
        <v>7.5</v>
      </c>
      <c r="AI52" s="37">
        <v>0</v>
      </c>
      <c r="AJ52" s="19">
        <v>0</v>
      </c>
      <c r="AK52" s="19"/>
      <c r="AL52" s="19"/>
      <c r="AM52" s="19"/>
      <c r="AN52" s="108"/>
      <c r="AO52" s="111">
        <f t="shared" si="13"/>
        <v>0</v>
      </c>
      <c r="AP52" s="137">
        <f t="shared" si="14"/>
        <v>50</v>
      </c>
      <c r="AQ52" s="137">
        <f t="shared" si="15"/>
        <v>20</v>
      </c>
      <c r="AR52" s="36">
        <v>0</v>
      </c>
      <c r="AS52" s="107"/>
      <c r="AT52" s="111">
        <f t="shared" si="16"/>
        <v>0</v>
      </c>
      <c r="AU52" s="137">
        <f t="shared" si="17"/>
        <v>50</v>
      </c>
      <c r="AV52" s="137">
        <f t="shared" si="18"/>
        <v>25</v>
      </c>
      <c r="AW52" s="139">
        <f t="shared" si="25"/>
        <v>52.5</v>
      </c>
      <c r="AX52" s="113" t="str">
        <f t="shared" si="26"/>
        <v>FAILED</v>
      </c>
      <c r="AZ52" s="143">
        <f t="shared" si="19"/>
        <v>42.4375</v>
      </c>
      <c r="BA52" s="146">
        <f t="shared" si="20"/>
        <v>21</v>
      </c>
      <c r="BB52" s="145">
        <f t="shared" si="21"/>
        <v>63.4375</v>
      </c>
      <c r="BC52" s="117" t="str">
        <f t="shared" si="22"/>
        <v>FAILED</v>
      </c>
    </row>
    <row r="53" spans="1:55" ht="16.8" thickTop="1" thickBot="1" x14ac:dyDescent="0.35">
      <c r="A53" s="19">
        <f>Attendance!A51</f>
        <v>44</v>
      </c>
      <c r="B53" s="20" t="str">
        <f>Attendance!B51</f>
        <v>Tuloganon, Raffy Verano</v>
      </c>
      <c r="C53" s="174">
        <f>Attendance!AD51</f>
        <v>10</v>
      </c>
      <c r="D53" s="135">
        <f t="shared" ref="D53:D54" si="27">C53/30*50+50</f>
        <v>66.666666666666657</v>
      </c>
      <c r="E53" s="134">
        <f t="shared" ref="E53:E54" si="28">D53*0.05</f>
        <v>3.333333333333333</v>
      </c>
      <c r="F53" s="168">
        <v>50</v>
      </c>
      <c r="G53" s="169"/>
      <c r="H53" s="170"/>
      <c r="I53" s="151">
        <f t="shared" ref="I53:I54" si="29">SUM(F53:H53)</f>
        <v>50</v>
      </c>
      <c r="J53" s="152">
        <f t="shared" ref="J53:J54" si="30">(I53/SUM($F$9:$H$9))*50+50</f>
        <v>100</v>
      </c>
      <c r="K53" s="151">
        <f t="shared" ref="K53:K54" si="31">J53*0.15</f>
        <v>15</v>
      </c>
      <c r="L53" s="171">
        <v>11</v>
      </c>
      <c r="M53" s="169">
        <v>14</v>
      </c>
      <c r="N53" s="169"/>
      <c r="O53" s="170"/>
      <c r="P53" s="134">
        <f t="shared" ref="P53:P54" si="32">SUM(L53:O53)</f>
        <v>25</v>
      </c>
      <c r="Q53" s="133">
        <f t="shared" ref="Q53:Q54" si="33">(P53/SUM($L$9:$O$9))*50+50</f>
        <v>91.666666666666671</v>
      </c>
      <c r="R53" s="134">
        <f t="shared" ref="R53:R54" si="34">Q53*0.3</f>
        <v>27.5</v>
      </c>
      <c r="S53" s="173">
        <v>54</v>
      </c>
      <c r="T53" s="134">
        <f t="shared" ref="T53:T54" si="35">S53/($S$9)*50+50</f>
        <v>83.75</v>
      </c>
      <c r="U53" s="166">
        <f t="shared" ref="U53:U54" si="36">T53*0.5</f>
        <v>41.875</v>
      </c>
      <c r="V53" s="131">
        <f t="shared" ref="V53:V54" si="37">SUM(U53,R53,K53,E53)</f>
        <v>87.708333333333329</v>
      </c>
      <c r="W53" s="167" t="str">
        <f t="shared" ref="W53:W54" si="38">IF(V53&lt;74.5,"FAILED","PASSED")</f>
        <v>PASSED</v>
      </c>
      <c r="Z53" s="34">
        <v>3</v>
      </c>
      <c r="AA53" s="35">
        <v>3</v>
      </c>
      <c r="AB53" s="19">
        <v>3</v>
      </c>
      <c r="AC53" s="19">
        <v>3</v>
      </c>
      <c r="AD53" s="19"/>
      <c r="AE53" s="108"/>
      <c r="AF53" s="111">
        <f t="shared" ref="AF53:AF54" si="39">SUM(Z53:AE53)</f>
        <v>12</v>
      </c>
      <c r="AG53" s="137">
        <f t="shared" ref="AG53:AG54" si="40">(AF53/SUM($Z$9:$AE$9))*50+50</f>
        <v>100</v>
      </c>
      <c r="AH53" s="137">
        <f t="shared" ref="AH53:AH54" si="41">AG53*0.1</f>
        <v>10</v>
      </c>
      <c r="AI53" s="37">
        <v>100</v>
      </c>
      <c r="AJ53" s="19">
        <v>95</v>
      </c>
      <c r="AK53" s="19"/>
      <c r="AL53" s="19"/>
      <c r="AM53" s="19"/>
      <c r="AN53" s="108"/>
      <c r="AO53" s="111">
        <f t="shared" ref="AO53:AO54" si="42">SUM(AI53:AN53)</f>
        <v>195</v>
      </c>
      <c r="AP53" s="137">
        <f t="shared" ref="AP53:AP54" si="43">(AO53/SUM($AI$9:$AN$9))*50+50</f>
        <v>98.75</v>
      </c>
      <c r="AQ53" s="137">
        <f t="shared" ref="AQ53:AQ54" si="44">AP53*0.4</f>
        <v>39.5</v>
      </c>
      <c r="AR53" s="36">
        <v>90</v>
      </c>
      <c r="AS53" s="107"/>
      <c r="AT53" s="111">
        <f t="shared" ref="AT53:AT54" si="45">SUM(AR53:AS53)</f>
        <v>90</v>
      </c>
      <c r="AU53" s="137">
        <f t="shared" ref="AU53:AU54" si="46">(AT53/SUM($AR$9:$AS$9))*50+50</f>
        <v>95</v>
      </c>
      <c r="AV53" s="137">
        <f t="shared" ref="AV53:AV54" si="47">AU53*0.5</f>
        <v>47.5</v>
      </c>
      <c r="AW53" s="139">
        <f t="shared" ref="AW53:AW54" si="48">SUM(AV53,AQ53,AH53)</f>
        <v>97</v>
      </c>
      <c r="AX53" s="113" t="str">
        <f t="shared" ref="AX53:AX54" si="49">IF(AW53&lt;74.5, "FAILED", "PASSED")</f>
        <v>PASSED</v>
      </c>
      <c r="AZ53" s="147">
        <f t="shared" ref="AZ53:AZ54" si="50">V53*0.6</f>
        <v>52.624999999999993</v>
      </c>
      <c r="BA53" s="148">
        <f t="shared" ref="BA53:BA54" si="51">AW53*0.4</f>
        <v>38.800000000000004</v>
      </c>
      <c r="BB53" s="149">
        <f t="shared" ref="BB53:BB54" si="52">SUM(AZ53:BA53)</f>
        <v>91.424999999999997</v>
      </c>
      <c r="BC53" s="118" t="str">
        <f t="shared" ref="BC53:BC54" si="53">IF(BB53&lt;74.5,"FAILED","PASSED")</f>
        <v>PASSED</v>
      </c>
    </row>
    <row r="54" spans="1:55" ht="16.8" thickTop="1" thickBot="1" x14ac:dyDescent="0.35">
      <c r="A54" s="19">
        <f>Attendance!A52</f>
        <v>45</v>
      </c>
      <c r="B54" s="20" t="str">
        <f>Attendance!B52</f>
        <v>Verial, Marlou Cebuco</v>
      </c>
      <c r="C54" s="135">
        <f>Attendance!AD52</f>
        <v>3</v>
      </c>
      <c r="D54" s="135">
        <f t="shared" si="27"/>
        <v>55</v>
      </c>
      <c r="E54" s="134">
        <f t="shared" si="28"/>
        <v>2.75</v>
      </c>
      <c r="F54" s="175">
        <v>50</v>
      </c>
      <c r="G54" s="176"/>
      <c r="H54" s="177"/>
      <c r="I54" s="151">
        <f t="shared" si="29"/>
        <v>50</v>
      </c>
      <c r="J54" s="152">
        <f t="shared" si="30"/>
        <v>100</v>
      </c>
      <c r="K54" s="151">
        <f t="shared" si="31"/>
        <v>15</v>
      </c>
      <c r="L54" s="178">
        <v>0</v>
      </c>
      <c r="M54" s="176">
        <v>13</v>
      </c>
      <c r="N54" s="176"/>
      <c r="O54" s="177"/>
      <c r="P54" s="134">
        <f t="shared" si="32"/>
        <v>13</v>
      </c>
      <c r="Q54" s="133">
        <f t="shared" si="33"/>
        <v>71.666666666666671</v>
      </c>
      <c r="R54" s="134">
        <f t="shared" si="34"/>
        <v>21.5</v>
      </c>
      <c r="S54" s="135">
        <v>54</v>
      </c>
      <c r="T54" s="134">
        <f t="shared" si="35"/>
        <v>83.75</v>
      </c>
      <c r="U54" s="166">
        <f t="shared" si="36"/>
        <v>41.875</v>
      </c>
      <c r="V54" s="131">
        <f t="shared" si="37"/>
        <v>81.125</v>
      </c>
      <c r="W54" s="167" t="str">
        <f t="shared" si="38"/>
        <v>PASSED</v>
      </c>
      <c r="Z54" s="34">
        <v>3</v>
      </c>
      <c r="AA54" s="35">
        <v>3</v>
      </c>
      <c r="AB54" s="93">
        <v>0</v>
      </c>
      <c r="AC54" s="93">
        <v>3</v>
      </c>
      <c r="AD54" s="93"/>
      <c r="AE54" s="109"/>
      <c r="AF54" s="111">
        <f t="shared" si="39"/>
        <v>9</v>
      </c>
      <c r="AG54" s="137">
        <f t="shared" si="40"/>
        <v>87.5</v>
      </c>
      <c r="AH54" s="137">
        <f t="shared" si="41"/>
        <v>8.75</v>
      </c>
      <c r="AI54" s="92">
        <v>80</v>
      </c>
      <c r="AJ54" s="93">
        <v>95</v>
      </c>
      <c r="AK54" s="93"/>
      <c r="AL54" s="93"/>
      <c r="AM54" s="93"/>
      <c r="AN54" s="109"/>
      <c r="AO54" s="111">
        <f t="shared" si="42"/>
        <v>175</v>
      </c>
      <c r="AP54" s="137">
        <f t="shared" si="43"/>
        <v>93.75</v>
      </c>
      <c r="AQ54" s="137">
        <f t="shared" si="44"/>
        <v>37.5</v>
      </c>
      <c r="AR54" s="36">
        <v>90</v>
      </c>
      <c r="AS54" s="107"/>
      <c r="AT54" s="111">
        <f t="shared" si="45"/>
        <v>90</v>
      </c>
      <c r="AU54" s="137">
        <f t="shared" si="46"/>
        <v>95</v>
      </c>
      <c r="AV54" s="137">
        <f t="shared" si="47"/>
        <v>47.5</v>
      </c>
      <c r="AW54" s="139">
        <f t="shared" si="48"/>
        <v>93.75</v>
      </c>
      <c r="AX54" s="113" t="str">
        <f t="shared" si="49"/>
        <v>PASSED</v>
      </c>
      <c r="AZ54" s="150">
        <f t="shared" si="50"/>
        <v>48.674999999999997</v>
      </c>
      <c r="BA54" s="151">
        <f t="shared" si="51"/>
        <v>37.5</v>
      </c>
      <c r="BB54" s="152">
        <f t="shared" si="52"/>
        <v>86.174999999999997</v>
      </c>
      <c r="BC54" s="24" t="str">
        <f t="shared" si="53"/>
        <v>PASSED</v>
      </c>
    </row>
    <row r="55" spans="1:55" ht="16.2" thickTop="1" x14ac:dyDescent="0.3"/>
  </sheetData>
  <mergeCells count="26">
    <mergeCell ref="AZ6:BC6"/>
    <mergeCell ref="AI7:AQ7"/>
    <mergeCell ref="AR7:AV7"/>
    <mergeCell ref="AW7:AW8"/>
    <mergeCell ref="AX7:AX8"/>
    <mergeCell ref="AI8:AQ8"/>
    <mergeCell ref="AR8:AV8"/>
    <mergeCell ref="AZ7:AZ8"/>
    <mergeCell ref="BA7:BA8"/>
    <mergeCell ref="BB7:BB8"/>
    <mergeCell ref="BC7:BC8"/>
    <mergeCell ref="C2:AX4"/>
    <mergeCell ref="C6:U6"/>
    <mergeCell ref="Z6:AX6"/>
    <mergeCell ref="C7:E7"/>
    <mergeCell ref="F7:K7"/>
    <mergeCell ref="L7:R7"/>
    <mergeCell ref="S7:U7"/>
    <mergeCell ref="V7:V8"/>
    <mergeCell ref="W7:W8"/>
    <mergeCell ref="Z7:AH7"/>
    <mergeCell ref="C8:E8"/>
    <mergeCell ref="F8:K8"/>
    <mergeCell ref="L8:R8"/>
    <mergeCell ref="S8:U8"/>
    <mergeCell ref="Z8:AH8"/>
  </mergeCells>
  <conditionalFormatting sqref="W10:W54">
    <cfRule type="containsText" dxfId="20" priority="5" operator="containsText" text="FAILED">
      <formula>NOT(ISERROR(SEARCH("FAILED",W10)))</formula>
    </cfRule>
    <cfRule type="containsText" dxfId="19" priority="6" operator="containsText" text="PASSED">
      <formula>NOT(ISERROR(SEARCH("PASSED",W10)))</formula>
    </cfRule>
  </conditionalFormatting>
  <conditionalFormatting sqref="AX10:AX54">
    <cfRule type="containsText" dxfId="18" priority="3" operator="containsText" text="PASSED">
      <formula>NOT(ISERROR(SEARCH("PASSED",AX10)))</formula>
    </cfRule>
    <cfRule type="containsText" dxfId="17" priority="4" operator="containsText" text="FAILED">
      <formula>NOT(ISERROR(SEARCH("FAILED",AX10)))</formula>
    </cfRule>
  </conditionalFormatting>
  <conditionalFormatting sqref="BC9:BC54">
    <cfRule type="containsText" dxfId="16" priority="1" operator="containsText" text="FAILED">
      <formula>NOT(ISERROR(SEARCH("FAILED",BC9)))</formula>
    </cfRule>
    <cfRule type="containsText" dxfId="15" priority="2" operator="containsText" text="PASSED">
      <formula>NOT(ISERROR(SEARCH("PASSED",BC9)))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8CA83-B57D-4786-88A3-5F0876F38BC0}">
  <dimension ref="A1:BC55"/>
  <sheetViews>
    <sheetView topLeftCell="A27" zoomScale="72" workbookViewId="0">
      <pane xSplit="2" topLeftCell="AW1" activePane="topRight" state="frozen"/>
      <selection pane="topRight" activeCell="BB55" sqref="BB55"/>
    </sheetView>
  </sheetViews>
  <sheetFormatPr defaultRowHeight="15.6" x14ac:dyDescent="0.3"/>
  <cols>
    <col min="1" max="1" width="4.77734375" style="3" customWidth="1"/>
    <col min="2" max="2" width="53.77734375" style="3" customWidth="1"/>
    <col min="3" max="21" width="8.88671875" style="3"/>
    <col min="22" max="22" width="17.5546875" style="3" customWidth="1"/>
    <col min="23" max="23" width="18.109375" style="3" customWidth="1"/>
    <col min="24" max="48" width="8.88671875" style="3"/>
    <col min="49" max="49" width="17.5546875" style="3" customWidth="1"/>
    <col min="50" max="50" width="17.88671875" style="3" customWidth="1"/>
    <col min="51" max="51" width="8.88671875" style="3"/>
    <col min="52" max="52" width="18.21875" style="3" customWidth="1"/>
    <col min="53" max="55" width="18.109375" style="3" customWidth="1"/>
    <col min="56" max="16384" width="8.88671875" style="3"/>
  </cols>
  <sheetData>
    <row r="1" spans="1:55" x14ac:dyDescent="0.3">
      <c r="B1" s="3" t="str">
        <f>Attendance!B1</f>
        <v>SUBJECT: IS 2</v>
      </c>
    </row>
    <row r="2" spans="1:55" x14ac:dyDescent="0.3">
      <c r="B2" s="3" t="str">
        <f>Attendance!B2</f>
        <v>COURSE/YEAR: BSIT 1D</v>
      </c>
      <c r="C2" s="285" t="s">
        <v>23</v>
      </c>
      <c r="D2" s="286"/>
      <c r="E2" s="286"/>
      <c r="F2" s="286"/>
      <c r="G2" s="286"/>
      <c r="H2" s="286"/>
      <c r="I2" s="286"/>
      <c r="J2" s="286"/>
      <c r="K2" s="286"/>
      <c r="L2" s="286"/>
      <c r="M2" s="286"/>
      <c r="N2" s="286"/>
      <c r="O2" s="286"/>
      <c r="P2" s="286"/>
      <c r="Q2" s="286"/>
      <c r="R2" s="286"/>
      <c r="S2" s="286"/>
      <c r="T2" s="286"/>
      <c r="U2" s="286"/>
      <c r="V2" s="286"/>
      <c r="W2" s="286"/>
      <c r="X2" s="286"/>
      <c r="Y2" s="286"/>
      <c r="Z2" s="286"/>
      <c r="AA2" s="286"/>
      <c r="AB2" s="286"/>
      <c r="AC2" s="286"/>
      <c r="AD2" s="286"/>
      <c r="AE2" s="286"/>
      <c r="AF2" s="286"/>
      <c r="AG2" s="286"/>
      <c r="AH2" s="286"/>
      <c r="AI2" s="286"/>
      <c r="AJ2" s="286"/>
      <c r="AK2" s="286"/>
      <c r="AL2" s="286"/>
      <c r="AM2" s="286"/>
      <c r="AN2" s="286"/>
      <c r="AO2" s="286"/>
      <c r="AP2" s="286"/>
      <c r="AQ2" s="286"/>
      <c r="AR2" s="286"/>
      <c r="AS2" s="286"/>
      <c r="AT2" s="286"/>
      <c r="AU2" s="286"/>
      <c r="AV2" s="286"/>
      <c r="AW2" s="286"/>
      <c r="AX2" s="286"/>
    </row>
    <row r="3" spans="1:55" x14ac:dyDescent="0.3">
      <c r="B3" s="3" t="str">
        <f>Attendance!B3</f>
        <v>TIME: 1:00 PM - 5:00 PM</v>
      </c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7"/>
      <c r="AJ3" s="227"/>
      <c r="AK3" s="227"/>
      <c r="AL3" s="227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</row>
    <row r="4" spans="1:55" x14ac:dyDescent="0.3">
      <c r="B4" s="3" t="str">
        <f>Attendance!B4</f>
        <v>ROOM: COMPLAB 4</v>
      </c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7"/>
      <c r="AD4" s="227"/>
      <c r="AE4" s="227"/>
      <c r="AF4" s="227"/>
      <c r="AG4" s="227"/>
      <c r="AH4" s="227"/>
      <c r="AI4" s="227"/>
      <c r="AJ4" s="227"/>
      <c r="AK4" s="227"/>
      <c r="AL4" s="227"/>
      <c r="AM4" s="227"/>
      <c r="AN4" s="227"/>
      <c r="AO4" s="227"/>
      <c r="AP4" s="227"/>
      <c r="AQ4" s="227"/>
      <c r="AR4" s="227"/>
      <c r="AS4" s="227"/>
      <c r="AT4" s="227"/>
      <c r="AU4" s="227"/>
      <c r="AV4" s="227"/>
      <c r="AW4" s="227"/>
      <c r="AX4" s="227"/>
    </row>
    <row r="5" spans="1:55" ht="16.2" thickBot="1" x14ac:dyDescent="0.35">
      <c r="B5" s="3" t="str">
        <f>Attendance!B5</f>
        <v>UNITS: 2</v>
      </c>
    </row>
    <row r="6" spans="1:55" ht="16.8" thickTop="1" thickBot="1" x14ac:dyDescent="0.35">
      <c r="C6" s="228" t="s">
        <v>16</v>
      </c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8"/>
      <c r="Q6" s="228"/>
      <c r="R6" s="228"/>
      <c r="S6" s="228"/>
      <c r="T6" s="228"/>
      <c r="U6" s="228"/>
      <c r="V6" s="4"/>
      <c r="W6" s="4"/>
      <c r="X6" s="4"/>
      <c r="Z6" s="229" t="s">
        <v>22</v>
      </c>
      <c r="AA6" s="229"/>
      <c r="AB6" s="229"/>
      <c r="AC6" s="229"/>
      <c r="AD6" s="229"/>
      <c r="AE6" s="229"/>
      <c r="AF6" s="229"/>
      <c r="AG6" s="229"/>
      <c r="AH6" s="229"/>
      <c r="AI6" s="229"/>
      <c r="AJ6" s="229"/>
      <c r="AK6" s="229"/>
      <c r="AL6" s="229"/>
      <c r="AM6" s="229"/>
      <c r="AN6" s="229"/>
      <c r="AO6" s="229"/>
      <c r="AP6" s="229"/>
      <c r="AQ6" s="229"/>
      <c r="AR6" s="229"/>
      <c r="AS6" s="229"/>
      <c r="AT6" s="229"/>
      <c r="AU6" s="229"/>
      <c r="AV6" s="229"/>
      <c r="AW6" s="229"/>
      <c r="AX6" s="229"/>
      <c r="AZ6" s="288" t="s">
        <v>25</v>
      </c>
      <c r="BA6" s="288"/>
      <c r="BB6" s="288"/>
      <c r="BC6" s="288"/>
    </row>
    <row r="7" spans="1:55" ht="15.6" customHeight="1" thickTop="1" thickBot="1" x14ac:dyDescent="0.35">
      <c r="C7" s="230" t="s">
        <v>12</v>
      </c>
      <c r="D7" s="231"/>
      <c r="E7" s="232"/>
      <c r="F7" s="230" t="s">
        <v>13</v>
      </c>
      <c r="G7" s="231"/>
      <c r="H7" s="231"/>
      <c r="I7" s="231"/>
      <c r="J7" s="231"/>
      <c r="K7" s="232"/>
      <c r="L7" s="230" t="s">
        <v>14</v>
      </c>
      <c r="M7" s="231"/>
      <c r="N7" s="231"/>
      <c r="O7" s="231"/>
      <c r="P7" s="231"/>
      <c r="Q7" s="231"/>
      <c r="R7" s="232"/>
      <c r="S7" s="230" t="s">
        <v>15</v>
      </c>
      <c r="T7" s="231"/>
      <c r="U7" s="232"/>
      <c r="V7" s="233" t="s">
        <v>20</v>
      </c>
      <c r="W7" s="235" t="s">
        <v>21</v>
      </c>
      <c r="X7" s="4"/>
      <c r="Z7" s="237" t="s">
        <v>12</v>
      </c>
      <c r="AA7" s="238"/>
      <c r="AB7" s="238"/>
      <c r="AC7" s="238"/>
      <c r="AD7" s="238"/>
      <c r="AE7" s="238"/>
      <c r="AF7" s="238"/>
      <c r="AG7" s="238"/>
      <c r="AH7" s="239"/>
      <c r="AI7" s="240" t="s">
        <v>18</v>
      </c>
      <c r="AJ7" s="241"/>
      <c r="AK7" s="241"/>
      <c r="AL7" s="241"/>
      <c r="AM7" s="241"/>
      <c r="AN7" s="241"/>
      <c r="AO7" s="241"/>
      <c r="AP7" s="241"/>
      <c r="AQ7" s="242"/>
      <c r="AR7" s="243" t="s">
        <v>19</v>
      </c>
      <c r="AS7" s="241"/>
      <c r="AT7" s="241"/>
      <c r="AU7" s="241"/>
      <c r="AV7" s="242"/>
      <c r="AW7" s="244" t="s">
        <v>20</v>
      </c>
      <c r="AX7" s="235" t="s">
        <v>21</v>
      </c>
      <c r="AZ7" s="289" t="s">
        <v>26</v>
      </c>
      <c r="BA7" s="290" t="s">
        <v>27</v>
      </c>
      <c r="BB7" s="290" t="s">
        <v>20</v>
      </c>
      <c r="BC7" s="290" t="s">
        <v>21</v>
      </c>
    </row>
    <row r="8" spans="1:55" ht="16.8" thickTop="1" thickBot="1" x14ac:dyDescent="0.35">
      <c r="C8" s="246">
        <v>0.05</v>
      </c>
      <c r="D8" s="247"/>
      <c r="E8" s="248"/>
      <c r="F8" s="246">
        <v>0.15</v>
      </c>
      <c r="G8" s="249"/>
      <c r="H8" s="249"/>
      <c r="I8" s="247"/>
      <c r="J8" s="247"/>
      <c r="K8" s="248"/>
      <c r="L8" s="246">
        <v>0.3</v>
      </c>
      <c r="M8" s="249"/>
      <c r="N8" s="249"/>
      <c r="O8" s="249"/>
      <c r="P8" s="247"/>
      <c r="Q8" s="247"/>
      <c r="R8" s="248"/>
      <c r="S8" s="246">
        <v>0.5</v>
      </c>
      <c r="T8" s="247"/>
      <c r="U8" s="248"/>
      <c r="V8" s="287"/>
      <c r="W8" s="236"/>
      <c r="X8" s="5"/>
      <c r="Z8" s="250">
        <v>0.1</v>
      </c>
      <c r="AA8" s="251"/>
      <c r="AB8" s="251"/>
      <c r="AC8" s="251"/>
      <c r="AD8" s="251"/>
      <c r="AE8" s="251"/>
      <c r="AF8" s="252"/>
      <c r="AG8" s="252"/>
      <c r="AH8" s="253"/>
      <c r="AI8" s="246">
        <v>0.4</v>
      </c>
      <c r="AJ8" s="249"/>
      <c r="AK8" s="249"/>
      <c r="AL8" s="249"/>
      <c r="AM8" s="249"/>
      <c r="AN8" s="249"/>
      <c r="AO8" s="247"/>
      <c r="AP8" s="247"/>
      <c r="AQ8" s="248"/>
      <c r="AR8" s="246">
        <v>0.5</v>
      </c>
      <c r="AS8" s="254"/>
      <c r="AT8" s="255"/>
      <c r="AU8" s="255"/>
      <c r="AV8" s="256"/>
      <c r="AW8" s="245"/>
      <c r="AX8" s="236"/>
      <c r="AZ8" s="289"/>
      <c r="BA8" s="290"/>
      <c r="BB8" s="290"/>
      <c r="BC8" s="290"/>
    </row>
    <row r="9" spans="1:55" ht="16.8" thickTop="1" thickBot="1" x14ac:dyDescent="0.35">
      <c r="A9" s="65" t="s">
        <v>9</v>
      </c>
      <c r="B9" s="66" t="s">
        <v>10</v>
      </c>
      <c r="C9" s="96">
        <v>3</v>
      </c>
      <c r="D9" s="100">
        <f>C9/3*50+50</f>
        <v>100</v>
      </c>
      <c r="E9" s="100">
        <f>D9*0.05</f>
        <v>5</v>
      </c>
      <c r="F9" s="23">
        <v>50</v>
      </c>
      <c r="G9" s="21"/>
      <c r="H9" s="101"/>
      <c r="I9" s="100">
        <f>SUM(F9:H9)</f>
        <v>50</v>
      </c>
      <c r="J9" s="100">
        <f>(I9/SUM($F$9:$H$9))*50+50</f>
        <v>100</v>
      </c>
      <c r="K9" s="100">
        <f>J9*0.15</f>
        <v>15</v>
      </c>
      <c r="L9" s="23">
        <v>15</v>
      </c>
      <c r="M9" s="21">
        <v>10</v>
      </c>
      <c r="N9" s="21">
        <v>50</v>
      </c>
      <c r="O9" s="101"/>
      <c r="P9" s="100">
        <f>SUM(L9:O9)</f>
        <v>75</v>
      </c>
      <c r="Q9" s="100">
        <f>(P9/SUM($L$9:$O$9))*50+50</f>
        <v>100</v>
      </c>
      <c r="R9" s="100">
        <f>Q9*0.3</f>
        <v>30</v>
      </c>
      <c r="S9" s="99">
        <v>80</v>
      </c>
      <c r="T9" s="100">
        <f>S9/($S$9)*50+50</f>
        <v>100</v>
      </c>
      <c r="U9" s="100">
        <f>T9*0.5</f>
        <v>50</v>
      </c>
      <c r="V9" s="100">
        <f>SUM(U9,R9,K9,E9)</f>
        <v>100</v>
      </c>
      <c r="W9" s="24"/>
      <c r="Z9" s="30">
        <v>3</v>
      </c>
      <c r="AA9" s="31">
        <v>3</v>
      </c>
      <c r="AB9" s="31">
        <v>3</v>
      </c>
      <c r="AC9" s="31"/>
      <c r="AD9" s="31"/>
      <c r="AE9" s="68"/>
      <c r="AF9" s="110">
        <f>SUM(Z9:AE9)</f>
        <v>9</v>
      </c>
      <c r="AG9" s="110">
        <f>(AF9/SUM($Z$9:$AE$9))*50+50</f>
        <v>100</v>
      </c>
      <c r="AH9" s="110">
        <f>AG9*0.1</f>
        <v>10</v>
      </c>
      <c r="AI9" s="30">
        <v>100</v>
      </c>
      <c r="AJ9" s="31">
        <v>100</v>
      </c>
      <c r="AK9" s="31"/>
      <c r="AL9" s="31"/>
      <c r="AM9" s="31"/>
      <c r="AN9" s="68"/>
      <c r="AO9" s="110">
        <f>SUM(AI9:AN9)</f>
        <v>200</v>
      </c>
      <c r="AP9" s="110">
        <f>(AO9/SUM($AI$9:$AN$9))*50+50</f>
        <v>100</v>
      </c>
      <c r="AQ9" s="110">
        <f>AP9*0.4</f>
        <v>40</v>
      </c>
      <c r="AR9" s="33">
        <v>100</v>
      </c>
      <c r="AS9" s="68"/>
      <c r="AT9" s="110">
        <f>SUM(AR9:AS9)</f>
        <v>100</v>
      </c>
      <c r="AU9" s="110">
        <f>(AT9/SUM($AR$9:$AS$9))*50+50</f>
        <v>100</v>
      </c>
      <c r="AV9" s="110">
        <f>AU9*0.5</f>
        <v>50</v>
      </c>
      <c r="AW9" s="119">
        <f>SUM(AV9,AQ9,AH9)</f>
        <v>100</v>
      </c>
      <c r="AX9" s="113"/>
      <c r="AZ9" s="24">
        <f>V9*0.6</f>
        <v>60</v>
      </c>
      <c r="BA9" s="24">
        <f>AW9*0.4</f>
        <v>40</v>
      </c>
      <c r="BB9" s="24">
        <f>SUM(AZ9:BA9)</f>
        <v>100</v>
      </c>
      <c r="BC9" s="24" t="str">
        <f>IF(BB9&lt;74.5,"FAILED","PASSED")</f>
        <v>PASSED</v>
      </c>
    </row>
    <row r="10" spans="1:55" ht="16.8" thickTop="1" thickBot="1" x14ac:dyDescent="0.35">
      <c r="A10" s="19">
        <f>Attendance!A8</f>
        <v>1</v>
      </c>
      <c r="B10" s="20" t="str">
        <f>Attendance!B8</f>
        <v>Alcantara, Albert Marquez</v>
      </c>
      <c r="C10" s="97">
        <f>Attendance!S8</f>
        <v>2</v>
      </c>
      <c r="D10" s="151">
        <f>C10/3*50+50</f>
        <v>83.333333333333329</v>
      </c>
      <c r="E10" s="182">
        <f t="shared" ref="E10:E52" si="0">D10*0.05</f>
        <v>4.166666666666667</v>
      </c>
      <c r="F10" s="25">
        <v>40</v>
      </c>
      <c r="G10" s="26"/>
      <c r="H10" s="102"/>
      <c r="I10" s="24">
        <f>SUM(F10:H10)</f>
        <v>40</v>
      </c>
      <c r="J10" s="151">
        <f t="shared" ref="J10:J52" si="1">(I10/SUM($F$9:$H$9))*50+50</f>
        <v>90</v>
      </c>
      <c r="K10" s="182">
        <f>J10*0.15</f>
        <v>13.5</v>
      </c>
      <c r="L10" s="25">
        <v>13</v>
      </c>
      <c r="M10" s="26">
        <v>0</v>
      </c>
      <c r="N10" s="26">
        <v>44</v>
      </c>
      <c r="O10" s="102"/>
      <c r="P10" s="24">
        <f t="shared" ref="P10:P52" si="2">SUM(L10:O10)</f>
        <v>57</v>
      </c>
      <c r="Q10" s="151">
        <f t="shared" ref="Q10:Q52" si="3">(P10/SUM($L$9:$O$9))*50+50</f>
        <v>88</v>
      </c>
      <c r="R10" s="182">
        <f t="shared" ref="R10:R52" si="4">Q10*0.3</f>
        <v>26.4</v>
      </c>
      <c r="S10" s="105">
        <v>68</v>
      </c>
      <c r="T10" s="151">
        <f t="shared" ref="T10:T52" si="5">S10/($S$9)*50+50</f>
        <v>92.5</v>
      </c>
      <c r="U10" s="182">
        <f t="shared" ref="U10:U52" si="6">T10*0.5</f>
        <v>46.25</v>
      </c>
      <c r="V10" s="180">
        <f t="shared" ref="V10:V54" si="7">SUM(U10,R10,K10,E10)</f>
        <v>90.316666666666677</v>
      </c>
      <c r="W10" s="24" t="str">
        <f>IF(V10&lt;74.5,"FAILED","PASSED")</f>
        <v>PASSED</v>
      </c>
      <c r="Z10" s="34">
        <v>3</v>
      </c>
      <c r="AA10" s="35">
        <v>3</v>
      </c>
      <c r="AB10" s="35">
        <v>0</v>
      </c>
      <c r="AC10" s="35"/>
      <c r="AD10" s="35"/>
      <c r="AE10" s="107"/>
      <c r="AF10" s="113">
        <f t="shared" ref="AF10:AF52" si="8">SUM(Z10:AE10)</f>
        <v>6</v>
      </c>
      <c r="AG10" s="179">
        <f t="shared" ref="AG10:AG52" si="9">(AF10/SUM($Z$9:$AE$9))*50+50</f>
        <v>83.333333333333329</v>
      </c>
      <c r="AH10" s="184">
        <f t="shared" ref="AH10:AH52" si="10">AG10*0.1</f>
        <v>8.3333333333333339</v>
      </c>
      <c r="AI10" s="34">
        <v>85</v>
      </c>
      <c r="AJ10" s="35">
        <v>0</v>
      </c>
      <c r="AK10" s="35"/>
      <c r="AL10" s="35"/>
      <c r="AM10" s="35"/>
      <c r="AN10" s="107"/>
      <c r="AO10" s="113">
        <f t="shared" ref="AO10:AO52" si="11">SUM(AI10:AN10)</f>
        <v>85</v>
      </c>
      <c r="AP10" s="179">
        <f t="shared" ref="AP10:AP52" si="12">(AO10/SUM($AI$9:$AN$9))*50+50</f>
        <v>71.25</v>
      </c>
      <c r="AQ10" s="184">
        <f t="shared" ref="AQ10:AQ52" si="13">AP10*0.4</f>
        <v>28.5</v>
      </c>
      <c r="AR10" s="36">
        <v>83</v>
      </c>
      <c r="AS10" s="107"/>
      <c r="AT10" s="113">
        <f t="shared" ref="AT10:AT52" si="14">SUM(AR10:AS10)</f>
        <v>83</v>
      </c>
      <c r="AU10" s="179">
        <f t="shared" ref="AU10:AU52" si="15">(AT10/SUM($AR$9:$AS$9))*50+50</f>
        <v>91.5</v>
      </c>
      <c r="AV10" s="183">
        <f t="shared" ref="AV10:AV52" si="16">AU10*0.5</f>
        <v>45.75</v>
      </c>
      <c r="AW10" s="139">
        <f>SUM(AV10,AQ10,AH10)</f>
        <v>82.583333333333329</v>
      </c>
      <c r="AX10" s="113" t="str">
        <f>IF(AW10&lt;74.5, "FAILED", "PASSED")</f>
        <v>PASSED</v>
      </c>
      <c r="AZ10" s="151">
        <f t="shared" ref="AZ10:AZ52" si="17">V10*0.6</f>
        <v>54.190000000000005</v>
      </c>
      <c r="BA10" s="151">
        <f t="shared" ref="BA10:BA52" si="18">AW10*0.4</f>
        <v>33.033333333333331</v>
      </c>
      <c r="BB10" s="151">
        <f t="shared" ref="BB10:BB52" si="19">SUM(AZ10:BA10)</f>
        <v>87.223333333333329</v>
      </c>
      <c r="BC10" s="24" t="str">
        <f t="shared" ref="BC10:BC52" si="20">IF(BB10&lt;74.5,"FAILED","PASSED")</f>
        <v>PASSED</v>
      </c>
    </row>
    <row r="11" spans="1:55" ht="16.8" thickTop="1" thickBot="1" x14ac:dyDescent="0.35">
      <c r="A11" s="19">
        <f>Attendance!A9</f>
        <v>2</v>
      </c>
      <c r="B11" s="20" t="str">
        <f>Attendance!B9</f>
        <v>Aliaga, Rence Carl Medeloso</v>
      </c>
      <c r="C11" s="97">
        <f>Attendance!S9</f>
        <v>3</v>
      </c>
      <c r="D11" s="151">
        <f t="shared" ref="D11:D54" si="21">C11/3*50+50</f>
        <v>100</v>
      </c>
      <c r="E11" s="182">
        <f t="shared" si="0"/>
        <v>5</v>
      </c>
      <c r="F11" s="25">
        <v>40</v>
      </c>
      <c r="G11" s="29"/>
      <c r="H11" s="103"/>
      <c r="I11" s="24">
        <f t="shared" ref="I11:I52" si="22">SUM(F11:H11)</f>
        <v>40</v>
      </c>
      <c r="J11" s="151">
        <f t="shared" si="1"/>
        <v>90</v>
      </c>
      <c r="K11" s="182">
        <f t="shared" ref="K11:K52" si="23">J11*0.15</f>
        <v>13.5</v>
      </c>
      <c r="L11" s="28">
        <v>6</v>
      </c>
      <c r="M11" s="29">
        <v>9</v>
      </c>
      <c r="N11" s="29">
        <v>37</v>
      </c>
      <c r="O11" s="103"/>
      <c r="P11" s="24">
        <f t="shared" si="2"/>
        <v>52</v>
      </c>
      <c r="Q11" s="151">
        <f t="shared" si="3"/>
        <v>84.666666666666671</v>
      </c>
      <c r="R11" s="182">
        <f t="shared" si="4"/>
        <v>25.400000000000002</v>
      </c>
      <c r="S11" s="106">
        <v>58</v>
      </c>
      <c r="T11" s="151">
        <f t="shared" si="5"/>
        <v>86.25</v>
      </c>
      <c r="U11" s="182">
        <f t="shared" si="6"/>
        <v>43.125</v>
      </c>
      <c r="V11" s="180">
        <f t="shared" si="7"/>
        <v>87.025000000000006</v>
      </c>
      <c r="W11" s="24" t="str">
        <f t="shared" ref="W11:W52" si="24">IF(V11&lt;74.5,"FAILED","PASSED")</f>
        <v>PASSED</v>
      </c>
      <c r="Z11" s="37">
        <v>3</v>
      </c>
      <c r="AA11" s="19">
        <v>3</v>
      </c>
      <c r="AB11" s="19">
        <v>0</v>
      </c>
      <c r="AC11" s="19"/>
      <c r="AD11" s="19"/>
      <c r="AE11" s="108"/>
      <c r="AF11" s="113">
        <f t="shared" si="8"/>
        <v>6</v>
      </c>
      <c r="AG11" s="179">
        <f t="shared" si="9"/>
        <v>83.333333333333329</v>
      </c>
      <c r="AH11" s="184">
        <f t="shared" si="10"/>
        <v>8.3333333333333339</v>
      </c>
      <c r="AI11" s="37">
        <v>75</v>
      </c>
      <c r="AJ11" s="19">
        <v>0</v>
      </c>
      <c r="AK11" s="19"/>
      <c r="AL11" s="19"/>
      <c r="AM11" s="19"/>
      <c r="AN11" s="108"/>
      <c r="AO11" s="113">
        <f t="shared" si="11"/>
        <v>75</v>
      </c>
      <c r="AP11" s="179">
        <f t="shared" si="12"/>
        <v>68.75</v>
      </c>
      <c r="AQ11" s="184">
        <f t="shared" si="13"/>
        <v>27.5</v>
      </c>
      <c r="AR11" s="38">
        <v>91</v>
      </c>
      <c r="AS11" s="108"/>
      <c r="AT11" s="113">
        <f t="shared" si="14"/>
        <v>91</v>
      </c>
      <c r="AU11" s="179">
        <f t="shared" si="15"/>
        <v>95.5</v>
      </c>
      <c r="AV11" s="183">
        <f t="shared" si="16"/>
        <v>47.75</v>
      </c>
      <c r="AW11" s="139">
        <f t="shared" ref="AW11:AW54" si="25">SUM(AV11,AQ11,AH11)</f>
        <v>83.583333333333329</v>
      </c>
      <c r="AX11" s="113" t="str">
        <f t="shared" ref="AX11:AX52" si="26">IF(AW11&lt;74.5, "FAILED", "PASSED")</f>
        <v>PASSED</v>
      </c>
      <c r="AZ11" s="151">
        <f t="shared" si="17"/>
        <v>52.215000000000003</v>
      </c>
      <c r="BA11" s="151">
        <f t="shared" si="18"/>
        <v>33.43333333333333</v>
      </c>
      <c r="BB11" s="151">
        <f t="shared" si="19"/>
        <v>85.648333333333341</v>
      </c>
      <c r="BC11" s="24" t="str">
        <f t="shared" si="20"/>
        <v>PASSED</v>
      </c>
    </row>
    <row r="12" spans="1:55" ht="16.8" thickTop="1" thickBot="1" x14ac:dyDescent="0.35">
      <c r="A12" s="19">
        <f>Attendance!A10</f>
        <v>3</v>
      </c>
      <c r="B12" s="20" t="str">
        <f>Attendance!B10</f>
        <v>Almirol, Rheyjan Collado</v>
      </c>
      <c r="C12" s="97">
        <f>Attendance!S10</f>
        <v>3</v>
      </c>
      <c r="D12" s="151">
        <f t="shared" si="21"/>
        <v>100</v>
      </c>
      <c r="E12" s="182">
        <f t="shared" si="0"/>
        <v>5</v>
      </c>
      <c r="F12" s="25">
        <v>40</v>
      </c>
      <c r="G12" s="29"/>
      <c r="H12" s="103"/>
      <c r="I12" s="24">
        <f t="shared" si="22"/>
        <v>40</v>
      </c>
      <c r="J12" s="151">
        <f t="shared" si="1"/>
        <v>90</v>
      </c>
      <c r="K12" s="182">
        <f t="shared" si="23"/>
        <v>13.5</v>
      </c>
      <c r="L12" s="28">
        <v>7</v>
      </c>
      <c r="M12" s="29">
        <v>9</v>
      </c>
      <c r="N12" s="29">
        <v>41</v>
      </c>
      <c r="O12" s="103"/>
      <c r="P12" s="24">
        <f t="shared" si="2"/>
        <v>57</v>
      </c>
      <c r="Q12" s="151">
        <f t="shared" si="3"/>
        <v>88</v>
      </c>
      <c r="R12" s="182">
        <f t="shared" si="4"/>
        <v>26.4</v>
      </c>
      <c r="S12" s="106">
        <v>52</v>
      </c>
      <c r="T12" s="151">
        <f t="shared" si="5"/>
        <v>82.5</v>
      </c>
      <c r="U12" s="182">
        <f t="shared" si="6"/>
        <v>41.25</v>
      </c>
      <c r="V12" s="180">
        <f t="shared" si="7"/>
        <v>86.15</v>
      </c>
      <c r="W12" s="24" t="str">
        <f t="shared" si="24"/>
        <v>PASSED</v>
      </c>
      <c r="Z12" s="37">
        <v>3</v>
      </c>
      <c r="AA12" s="19">
        <v>3</v>
      </c>
      <c r="AB12" s="19">
        <v>3</v>
      </c>
      <c r="AC12" s="19"/>
      <c r="AD12" s="19"/>
      <c r="AE12" s="108"/>
      <c r="AF12" s="113">
        <f t="shared" si="8"/>
        <v>9</v>
      </c>
      <c r="AG12" s="179">
        <f t="shared" si="9"/>
        <v>100</v>
      </c>
      <c r="AH12" s="184">
        <f t="shared" si="10"/>
        <v>10</v>
      </c>
      <c r="AI12" s="37">
        <v>85</v>
      </c>
      <c r="AJ12" s="19">
        <v>85</v>
      </c>
      <c r="AK12" s="19"/>
      <c r="AL12" s="19"/>
      <c r="AM12" s="19"/>
      <c r="AN12" s="108"/>
      <c r="AO12" s="113">
        <f t="shared" si="11"/>
        <v>170</v>
      </c>
      <c r="AP12" s="179">
        <f t="shared" si="12"/>
        <v>92.5</v>
      </c>
      <c r="AQ12" s="184">
        <f t="shared" si="13"/>
        <v>37</v>
      </c>
      <c r="AR12" s="38">
        <v>91</v>
      </c>
      <c r="AS12" s="108"/>
      <c r="AT12" s="113">
        <f t="shared" si="14"/>
        <v>91</v>
      </c>
      <c r="AU12" s="179">
        <f t="shared" si="15"/>
        <v>95.5</v>
      </c>
      <c r="AV12" s="183">
        <f t="shared" si="16"/>
        <v>47.75</v>
      </c>
      <c r="AW12" s="139">
        <f t="shared" si="25"/>
        <v>94.75</v>
      </c>
      <c r="AX12" s="113" t="str">
        <f t="shared" si="26"/>
        <v>PASSED</v>
      </c>
      <c r="AZ12" s="151">
        <f t="shared" si="17"/>
        <v>51.690000000000005</v>
      </c>
      <c r="BA12" s="151">
        <f t="shared" si="18"/>
        <v>37.9</v>
      </c>
      <c r="BB12" s="151">
        <f t="shared" si="19"/>
        <v>89.59</v>
      </c>
      <c r="BC12" s="24" t="str">
        <f t="shared" si="20"/>
        <v>PASSED</v>
      </c>
    </row>
    <row r="13" spans="1:55" ht="16.8" thickTop="1" thickBot="1" x14ac:dyDescent="0.35">
      <c r="A13" s="19">
        <f>Attendance!A11</f>
        <v>4</v>
      </c>
      <c r="B13" s="20" t="str">
        <f>Attendance!B11</f>
        <v>Andiano, Noel Rabago</v>
      </c>
      <c r="C13" s="97">
        <f>Attendance!S11</f>
        <v>3</v>
      </c>
      <c r="D13" s="151">
        <f t="shared" si="21"/>
        <v>100</v>
      </c>
      <c r="E13" s="182">
        <f t="shared" si="0"/>
        <v>5</v>
      </c>
      <c r="F13" s="25">
        <v>40</v>
      </c>
      <c r="G13" s="29"/>
      <c r="H13" s="103"/>
      <c r="I13" s="24">
        <f t="shared" si="22"/>
        <v>40</v>
      </c>
      <c r="J13" s="151">
        <f t="shared" si="1"/>
        <v>90</v>
      </c>
      <c r="K13" s="182">
        <f t="shared" si="23"/>
        <v>13.5</v>
      </c>
      <c r="L13" s="28">
        <v>4</v>
      </c>
      <c r="M13" s="29">
        <v>1</v>
      </c>
      <c r="N13" s="29">
        <v>34</v>
      </c>
      <c r="O13" s="103"/>
      <c r="P13" s="24">
        <f t="shared" si="2"/>
        <v>39</v>
      </c>
      <c r="Q13" s="151">
        <f t="shared" si="3"/>
        <v>76</v>
      </c>
      <c r="R13" s="182">
        <f t="shared" si="4"/>
        <v>22.8</v>
      </c>
      <c r="S13" s="106">
        <v>33</v>
      </c>
      <c r="T13" s="151">
        <f t="shared" si="5"/>
        <v>70.625</v>
      </c>
      <c r="U13" s="182">
        <f t="shared" si="6"/>
        <v>35.3125</v>
      </c>
      <c r="V13" s="180">
        <f t="shared" si="7"/>
        <v>76.612499999999997</v>
      </c>
      <c r="W13" s="24" t="str">
        <f t="shared" si="24"/>
        <v>PASSED</v>
      </c>
      <c r="Z13" s="37">
        <v>3</v>
      </c>
      <c r="AA13" s="19">
        <v>3</v>
      </c>
      <c r="AB13" s="19">
        <v>0</v>
      </c>
      <c r="AC13" s="19"/>
      <c r="AD13" s="19"/>
      <c r="AE13" s="108"/>
      <c r="AF13" s="113">
        <f t="shared" si="8"/>
        <v>6</v>
      </c>
      <c r="AG13" s="179">
        <f t="shared" si="9"/>
        <v>83.333333333333329</v>
      </c>
      <c r="AH13" s="184">
        <f t="shared" si="10"/>
        <v>8.3333333333333339</v>
      </c>
      <c r="AI13" s="37">
        <v>86</v>
      </c>
      <c r="AJ13" s="19">
        <v>88</v>
      </c>
      <c r="AK13" s="19"/>
      <c r="AL13" s="19"/>
      <c r="AM13" s="19"/>
      <c r="AN13" s="108"/>
      <c r="AO13" s="113">
        <f t="shared" si="11"/>
        <v>174</v>
      </c>
      <c r="AP13" s="179">
        <f t="shared" si="12"/>
        <v>93.5</v>
      </c>
      <c r="AQ13" s="184">
        <f t="shared" si="13"/>
        <v>37.4</v>
      </c>
      <c r="AR13" s="38">
        <v>84</v>
      </c>
      <c r="AS13" s="108"/>
      <c r="AT13" s="113">
        <f t="shared" si="14"/>
        <v>84</v>
      </c>
      <c r="AU13" s="179">
        <f t="shared" si="15"/>
        <v>92</v>
      </c>
      <c r="AV13" s="183">
        <f t="shared" si="16"/>
        <v>46</v>
      </c>
      <c r="AW13" s="139">
        <f t="shared" si="25"/>
        <v>91.733333333333334</v>
      </c>
      <c r="AX13" s="113" t="str">
        <f t="shared" si="26"/>
        <v>PASSED</v>
      </c>
      <c r="AZ13" s="151">
        <f t="shared" si="17"/>
        <v>45.967499999999994</v>
      </c>
      <c r="BA13" s="151">
        <f t="shared" si="18"/>
        <v>36.693333333333335</v>
      </c>
      <c r="BB13" s="151">
        <f t="shared" si="19"/>
        <v>82.660833333333329</v>
      </c>
      <c r="BC13" s="24" t="str">
        <f t="shared" si="20"/>
        <v>PASSED</v>
      </c>
    </row>
    <row r="14" spans="1:55" ht="16.8" thickTop="1" thickBot="1" x14ac:dyDescent="0.35">
      <c r="A14" s="19">
        <f>Attendance!A12</f>
        <v>5</v>
      </c>
      <c r="B14" s="20" t="str">
        <f>Attendance!B12</f>
        <v>Ante, Clyde Mhyco Mendoza</v>
      </c>
      <c r="C14" s="97">
        <f>Attendance!S12</f>
        <v>1</v>
      </c>
      <c r="D14" s="151">
        <f t="shared" si="21"/>
        <v>66.666666666666657</v>
      </c>
      <c r="E14" s="182">
        <f t="shared" si="0"/>
        <v>3.333333333333333</v>
      </c>
      <c r="F14" s="25">
        <v>40</v>
      </c>
      <c r="G14" s="29"/>
      <c r="H14" s="103"/>
      <c r="I14" s="24">
        <f t="shared" si="22"/>
        <v>40</v>
      </c>
      <c r="J14" s="151">
        <f t="shared" si="1"/>
        <v>90</v>
      </c>
      <c r="K14" s="182">
        <f t="shared" si="23"/>
        <v>13.5</v>
      </c>
      <c r="L14" s="28">
        <v>0</v>
      </c>
      <c r="M14" s="29">
        <v>5</v>
      </c>
      <c r="N14" s="29">
        <v>0</v>
      </c>
      <c r="O14" s="103"/>
      <c r="P14" s="24">
        <f t="shared" si="2"/>
        <v>5</v>
      </c>
      <c r="Q14" s="151">
        <f t="shared" si="3"/>
        <v>53.333333333333336</v>
      </c>
      <c r="R14" s="182">
        <f t="shared" si="4"/>
        <v>16</v>
      </c>
      <c r="S14" s="106">
        <v>31</v>
      </c>
      <c r="T14" s="151">
        <f t="shared" si="5"/>
        <v>69.375</v>
      </c>
      <c r="U14" s="182">
        <f t="shared" si="6"/>
        <v>34.6875</v>
      </c>
      <c r="V14" s="180">
        <f t="shared" si="7"/>
        <v>67.520833333333329</v>
      </c>
      <c r="W14" s="24" t="str">
        <f t="shared" si="24"/>
        <v>FAILED</v>
      </c>
      <c r="Z14" s="37">
        <v>0</v>
      </c>
      <c r="AA14" s="19">
        <v>0</v>
      </c>
      <c r="AB14" s="19">
        <v>3</v>
      </c>
      <c r="AC14" s="19"/>
      <c r="AD14" s="19"/>
      <c r="AE14" s="108"/>
      <c r="AF14" s="113">
        <f t="shared" si="8"/>
        <v>3</v>
      </c>
      <c r="AG14" s="179">
        <f t="shared" si="9"/>
        <v>66.666666666666657</v>
      </c>
      <c r="AH14" s="184">
        <f t="shared" si="10"/>
        <v>6.6666666666666661</v>
      </c>
      <c r="AI14" s="37">
        <v>85</v>
      </c>
      <c r="AJ14" s="19">
        <v>85</v>
      </c>
      <c r="AK14" s="19"/>
      <c r="AL14" s="19"/>
      <c r="AM14" s="19"/>
      <c r="AN14" s="108"/>
      <c r="AO14" s="113">
        <f t="shared" si="11"/>
        <v>170</v>
      </c>
      <c r="AP14" s="179">
        <f t="shared" si="12"/>
        <v>92.5</v>
      </c>
      <c r="AQ14" s="184">
        <f t="shared" si="13"/>
        <v>37</v>
      </c>
      <c r="AR14" s="38">
        <v>0</v>
      </c>
      <c r="AS14" s="108"/>
      <c r="AT14" s="113">
        <f t="shared" si="14"/>
        <v>0</v>
      </c>
      <c r="AU14" s="179">
        <f t="shared" si="15"/>
        <v>50</v>
      </c>
      <c r="AV14" s="183">
        <f t="shared" si="16"/>
        <v>25</v>
      </c>
      <c r="AW14" s="139">
        <f t="shared" si="25"/>
        <v>68.666666666666671</v>
      </c>
      <c r="AX14" s="113" t="str">
        <f t="shared" si="26"/>
        <v>FAILED</v>
      </c>
      <c r="AZ14" s="151">
        <f t="shared" si="17"/>
        <v>40.512499999999996</v>
      </c>
      <c r="BA14" s="151">
        <f t="shared" si="18"/>
        <v>27.466666666666669</v>
      </c>
      <c r="BB14" s="151">
        <f t="shared" si="19"/>
        <v>67.979166666666657</v>
      </c>
      <c r="BC14" s="24" t="str">
        <f t="shared" si="20"/>
        <v>FAILED</v>
      </c>
    </row>
    <row r="15" spans="1:55" ht="16.8" thickTop="1" thickBot="1" x14ac:dyDescent="0.35">
      <c r="A15" s="19">
        <f>Attendance!A13</f>
        <v>6</v>
      </c>
      <c r="B15" s="20" t="str">
        <f>Attendance!B13</f>
        <v>Antiporda, Jay Mark Cabes</v>
      </c>
      <c r="C15" s="97">
        <f>Attendance!S13</f>
        <v>3</v>
      </c>
      <c r="D15" s="151">
        <f t="shared" si="21"/>
        <v>100</v>
      </c>
      <c r="E15" s="182">
        <f t="shared" si="0"/>
        <v>5</v>
      </c>
      <c r="F15" s="25">
        <v>40</v>
      </c>
      <c r="G15" s="29"/>
      <c r="H15" s="103"/>
      <c r="I15" s="24">
        <f t="shared" si="22"/>
        <v>40</v>
      </c>
      <c r="J15" s="151">
        <f t="shared" si="1"/>
        <v>90</v>
      </c>
      <c r="K15" s="182">
        <f t="shared" si="23"/>
        <v>13.5</v>
      </c>
      <c r="L15" s="28">
        <v>10</v>
      </c>
      <c r="M15" s="29">
        <v>9</v>
      </c>
      <c r="N15" s="29">
        <v>29</v>
      </c>
      <c r="O15" s="103"/>
      <c r="P15" s="24">
        <f t="shared" si="2"/>
        <v>48</v>
      </c>
      <c r="Q15" s="151">
        <f t="shared" si="3"/>
        <v>82</v>
      </c>
      <c r="R15" s="182">
        <f t="shared" si="4"/>
        <v>24.599999999999998</v>
      </c>
      <c r="S15" s="106">
        <v>58</v>
      </c>
      <c r="T15" s="151">
        <f t="shared" si="5"/>
        <v>86.25</v>
      </c>
      <c r="U15" s="182">
        <f t="shared" si="6"/>
        <v>43.125</v>
      </c>
      <c r="V15" s="180">
        <f t="shared" si="7"/>
        <v>86.224999999999994</v>
      </c>
      <c r="W15" s="24" t="str">
        <f t="shared" si="24"/>
        <v>PASSED</v>
      </c>
      <c r="Z15" s="37">
        <v>3</v>
      </c>
      <c r="AA15" s="19">
        <v>3</v>
      </c>
      <c r="AB15" s="19">
        <v>3</v>
      </c>
      <c r="AC15" s="19"/>
      <c r="AD15" s="19"/>
      <c r="AE15" s="108"/>
      <c r="AF15" s="113">
        <f t="shared" si="8"/>
        <v>9</v>
      </c>
      <c r="AG15" s="179">
        <f t="shared" si="9"/>
        <v>100</v>
      </c>
      <c r="AH15" s="184">
        <f t="shared" si="10"/>
        <v>10</v>
      </c>
      <c r="AI15" s="37">
        <v>75</v>
      </c>
      <c r="AJ15" s="19">
        <v>88</v>
      </c>
      <c r="AK15" s="19"/>
      <c r="AL15" s="19"/>
      <c r="AM15" s="19"/>
      <c r="AN15" s="108"/>
      <c r="AO15" s="113">
        <f t="shared" si="11"/>
        <v>163</v>
      </c>
      <c r="AP15" s="179">
        <f t="shared" si="12"/>
        <v>90.75</v>
      </c>
      <c r="AQ15" s="184">
        <f t="shared" si="13"/>
        <v>36.300000000000004</v>
      </c>
      <c r="AR15" s="38">
        <v>89</v>
      </c>
      <c r="AS15" s="108"/>
      <c r="AT15" s="113">
        <f t="shared" si="14"/>
        <v>89</v>
      </c>
      <c r="AU15" s="179">
        <f t="shared" si="15"/>
        <v>94.5</v>
      </c>
      <c r="AV15" s="183">
        <f t="shared" si="16"/>
        <v>47.25</v>
      </c>
      <c r="AW15" s="139">
        <f t="shared" si="25"/>
        <v>93.550000000000011</v>
      </c>
      <c r="AX15" s="113" t="str">
        <f t="shared" si="26"/>
        <v>PASSED</v>
      </c>
      <c r="AZ15" s="151">
        <f t="shared" si="17"/>
        <v>51.734999999999992</v>
      </c>
      <c r="BA15" s="151">
        <f t="shared" si="18"/>
        <v>37.420000000000009</v>
      </c>
      <c r="BB15" s="151">
        <f t="shared" si="19"/>
        <v>89.155000000000001</v>
      </c>
      <c r="BC15" s="24" t="str">
        <f t="shared" si="20"/>
        <v>PASSED</v>
      </c>
    </row>
    <row r="16" spans="1:55" ht="16.8" thickTop="1" thickBot="1" x14ac:dyDescent="0.35">
      <c r="A16" s="19">
        <f>Attendance!A14</f>
        <v>7</v>
      </c>
      <c r="B16" s="20" t="str">
        <f>Attendance!B14</f>
        <v>Aragon, Jaspher Hanly Tejada</v>
      </c>
      <c r="C16" s="97">
        <f>Attendance!S14</f>
        <v>3</v>
      </c>
      <c r="D16" s="151">
        <f t="shared" si="21"/>
        <v>100</v>
      </c>
      <c r="E16" s="182">
        <f t="shared" si="0"/>
        <v>5</v>
      </c>
      <c r="F16" s="25">
        <v>40</v>
      </c>
      <c r="G16" s="29"/>
      <c r="H16" s="103"/>
      <c r="I16" s="24">
        <f t="shared" si="22"/>
        <v>40</v>
      </c>
      <c r="J16" s="151">
        <f t="shared" si="1"/>
        <v>90</v>
      </c>
      <c r="K16" s="182">
        <f t="shared" si="23"/>
        <v>13.5</v>
      </c>
      <c r="L16" s="28">
        <v>7</v>
      </c>
      <c r="M16" s="29">
        <v>8</v>
      </c>
      <c r="N16" s="29">
        <v>41</v>
      </c>
      <c r="O16" s="103"/>
      <c r="P16" s="24">
        <f t="shared" si="2"/>
        <v>56</v>
      </c>
      <c r="Q16" s="151">
        <f t="shared" si="3"/>
        <v>87.333333333333343</v>
      </c>
      <c r="R16" s="182">
        <f t="shared" si="4"/>
        <v>26.200000000000003</v>
      </c>
      <c r="S16" s="106">
        <v>68</v>
      </c>
      <c r="T16" s="151">
        <f t="shared" si="5"/>
        <v>92.5</v>
      </c>
      <c r="U16" s="182">
        <f t="shared" si="6"/>
        <v>46.25</v>
      </c>
      <c r="V16" s="180">
        <f t="shared" si="7"/>
        <v>90.95</v>
      </c>
      <c r="W16" s="24" t="str">
        <f t="shared" si="24"/>
        <v>PASSED</v>
      </c>
      <c r="Z16" s="37">
        <v>3</v>
      </c>
      <c r="AA16" s="19">
        <v>3</v>
      </c>
      <c r="AB16" s="19">
        <v>3</v>
      </c>
      <c r="AC16" s="19"/>
      <c r="AD16" s="19"/>
      <c r="AE16" s="108"/>
      <c r="AF16" s="113">
        <f t="shared" si="8"/>
        <v>9</v>
      </c>
      <c r="AG16" s="179">
        <f t="shared" si="9"/>
        <v>100</v>
      </c>
      <c r="AH16" s="184">
        <f t="shared" si="10"/>
        <v>10</v>
      </c>
      <c r="AI16" s="37">
        <v>75</v>
      </c>
      <c r="AJ16" s="19">
        <v>75</v>
      </c>
      <c r="AK16" s="19"/>
      <c r="AL16" s="19"/>
      <c r="AM16" s="19"/>
      <c r="AN16" s="108"/>
      <c r="AO16" s="113">
        <f t="shared" si="11"/>
        <v>150</v>
      </c>
      <c r="AP16" s="179">
        <f t="shared" si="12"/>
        <v>87.5</v>
      </c>
      <c r="AQ16" s="184">
        <f t="shared" si="13"/>
        <v>35</v>
      </c>
      <c r="AR16" s="38">
        <v>89</v>
      </c>
      <c r="AS16" s="108"/>
      <c r="AT16" s="113">
        <f t="shared" si="14"/>
        <v>89</v>
      </c>
      <c r="AU16" s="179">
        <f t="shared" si="15"/>
        <v>94.5</v>
      </c>
      <c r="AV16" s="183">
        <f t="shared" si="16"/>
        <v>47.25</v>
      </c>
      <c r="AW16" s="139">
        <f t="shared" si="25"/>
        <v>92.25</v>
      </c>
      <c r="AX16" s="113" t="str">
        <f t="shared" si="26"/>
        <v>PASSED</v>
      </c>
      <c r="AZ16" s="151">
        <f t="shared" si="17"/>
        <v>54.57</v>
      </c>
      <c r="BA16" s="151">
        <f t="shared" si="18"/>
        <v>36.9</v>
      </c>
      <c r="BB16" s="151">
        <f t="shared" si="19"/>
        <v>91.47</v>
      </c>
      <c r="BC16" s="24" t="str">
        <f t="shared" si="20"/>
        <v>PASSED</v>
      </c>
    </row>
    <row r="17" spans="1:55" ht="16.8" thickTop="1" thickBot="1" x14ac:dyDescent="0.35">
      <c r="A17" s="19">
        <f>Attendance!A15</f>
        <v>8</v>
      </c>
      <c r="B17" s="20" t="str">
        <f>Attendance!B15</f>
        <v>Armada, Donie Lagania</v>
      </c>
      <c r="C17" s="97">
        <f>Attendance!S15</f>
        <v>3</v>
      </c>
      <c r="D17" s="151">
        <f t="shared" si="21"/>
        <v>100</v>
      </c>
      <c r="E17" s="182">
        <f t="shared" si="0"/>
        <v>5</v>
      </c>
      <c r="F17" s="25">
        <v>40</v>
      </c>
      <c r="G17" s="29"/>
      <c r="H17" s="103"/>
      <c r="I17" s="24">
        <f t="shared" si="22"/>
        <v>40</v>
      </c>
      <c r="J17" s="151">
        <f t="shared" si="1"/>
        <v>90</v>
      </c>
      <c r="K17" s="182">
        <f t="shared" si="23"/>
        <v>13.5</v>
      </c>
      <c r="L17" s="28">
        <v>14</v>
      </c>
      <c r="M17" s="29">
        <v>9</v>
      </c>
      <c r="N17" s="29">
        <v>45</v>
      </c>
      <c r="O17" s="103"/>
      <c r="P17" s="24">
        <f t="shared" si="2"/>
        <v>68</v>
      </c>
      <c r="Q17" s="151">
        <f t="shared" si="3"/>
        <v>95.333333333333329</v>
      </c>
      <c r="R17" s="182">
        <f t="shared" si="4"/>
        <v>28.599999999999998</v>
      </c>
      <c r="S17" s="106">
        <v>78</v>
      </c>
      <c r="T17" s="151">
        <f t="shared" si="5"/>
        <v>98.75</v>
      </c>
      <c r="U17" s="182">
        <f t="shared" si="6"/>
        <v>49.375</v>
      </c>
      <c r="V17" s="180">
        <f t="shared" si="7"/>
        <v>96.474999999999994</v>
      </c>
      <c r="W17" s="24" t="str">
        <f t="shared" si="24"/>
        <v>PASSED</v>
      </c>
      <c r="Z17" s="37">
        <v>3</v>
      </c>
      <c r="AA17" s="19">
        <v>3</v>
      </c>
      <c r="AB17" s="19">
        <v>3</v>
      </c>
      <c r="AC17" s="19"/>
      <c r="AD17" s="19"/>
      <c r="AE17" s="108"/>
      <c r="AF17" s="113">
        <f t="shared" si="8"/>
        <v>9</v>
      </c>
      <c r="AG17" s="179">
        <f t="shared" si="9"/>
        <v>100</v>
      </c>
      <c r="AH17" s="184">
        <f t="shared" si="10"/>
        <v>10</v>
      </c>
      <c r="AI17" s="37">
        <v>85</v>
      </c>
      <c r="AJ17" s="19">
        <v>75</v>
      </c>
      <c r="AK17" s="19"/>
      <c r="AL17" s="19"/>
      <c r="AM17" s="19"/>
      <c r="AN17" s="108"/>
      <c r="AO17" s="113">
        <f t="shared" si="11"/>
        <v>160</v>
      </c>
      <c r="AP17" s="179">
        <f t="shared" si="12"/>
        <v>90</v>
      </c>
      <c r="AQ17" s="184">
        <f t="shared" si="13"/>
        <v>36</v>
      </c>
      <c r="AR17" s="38">
        <v>94</v>
      </c>
      <c r="AS17" s="108"/>
      <c r="AT17" s="113">
        <f t="shared" si="14"/>
        <v>94</v>
      </c>
      <c r="AU17" s="179">
        <f t="shared" si="15"/>
        <v>97</v>
      </c>
      <c r="AV17" s="183">
        <f t="shared" si="16"/>
        <v>48.5</v>
      </c>
      <c r="AW17" s="139">
        <f t="shared" si="25"/>
        <v>94.5</v>
      </c>
      <c r="AX17" s="113" t="str">
        <f t="shared" si="26"/>
        <v>PASSED</v>
      </c>
      <c r="AZ17" s="151">
        <f t="shared" si="17"/>
        <v>57.884999999999991</v>
      </c>
      <c r="BA17" s="151">
        <f t="shared" si="18"/>
        <v>37.800000000000004</v>
      </c>
      <c r="BB17" s="151">
        <f t="shared" si="19"/>
        <v>95.685000000000002</v>
      </c>
      <c r="BC17" s="24" t="str">
        <f t="shared" si="20"/>
        <v>PASSED</v>
      </c>
    </row>
    <row r="18" spans="1:55" ht="16.8" thickTop="1" thickBot="1" x14ac:dyDescent="0.35">
      <c r="A18" s="19">
        <f>Attendance!A16</f>
        <v>9</v>
      </c>
      <c r="B18" s="20" t="str">
        <f>Attendance!B16</f>
        <v>Banquil, Clarissa Marie Gonzaga</v>
      </c>
      <c r="C18" s="97">
        <f>Attendance!S16</f>
        <v>3</v>
      </c>
      <c r="D18" s="151">
        <f t="shared" si="21"/>
        <v>100</v>
      </c>
      <c r="E18" s="182">
        <f t="shared" si="0"/>
        <v>5</v>
      </c>
      <c r="F18" s="25">
        <v>40</v>
      </c>
      <c r="G18" s="29"/>
      <c r="H18" s="103"/>
      <c r="I18" s="24">
        <f t="shared" si="22"/>
        <v>40</v>
      </c>
      <c r="J18" s="151">
        <f t="shared" si="1"/>
        <v>90</v>
      </c>
      <c r="K18" s="182">
        <f t="shared" si="23"/>
        <v>13.5</v>
      </c>
      <c r="L18" s="28">
        <v>10</v>
      </c>
      <c r="M18" s="29">
        <v>8</v>
      </c>
      <c r="N18" s="29">
        <v>43</v>
      </c>
      <c r="O18" s="103"/>
      <c r="P18" s="24">
        <f t="shared" si="2"/>
        <v>61</v>
      </c>
      <c r="Q18" s="151">
        <f t="shared" si="3"/>
        <v>90.666666666666657</v>
      </c>
      <c r="R18" s="182">
        <f t="shared" si="4"/>
        <v>27.199999999999996</v>
      </c>
      <c r="S18" s="106">
        <v>68</v>
      </c>
      <c r="T18" s="151">
        <f t="shared" si="5"/>
        <v>92.5</v>
      </c>
      <c r="U18" s="182">
        <f t="shared" si="6"/>
        <v>46.25</v>
      </c>
      <c r="V18" s="180">
        <f t="shared" si="7"/>
        <v>91.949999999999989</v>
      </c>
      <c r="W18" s="24" t="str">
        <f t="shared" si="24"/>
        <v>PASSED</v>
      </c>
      <c r="Z18" s="37">
        <v>3</v>
      </c>
      <c r="AA18" s="19">
        <v>3</v>
      </c>
      <c r="AB18" s="19">
        <v>3</v>
      </c>
      <c r="AC18" s="19"/>
      <c r="AD18" s="19"/>
      <c r="AE18" s="108"/>
      <c r="AF18" s="113">
        <f t="shared" si="8"/>
        <v>9</v>
      </c>
      <c r="AG18" s="179">
        <f t="shared" si="9"/>
        <v>100</v>
      </c>
      <c r="AH18" s="184">
        <f t="shared" si="10"/>
        <v>10</v>
      </c>
      <c r="AI18" s="37">
        <v>88</v>
      </c>
      <c r="AJ18" s="19">
        <v>75</v>
      </c>
      <c r="AK18" s="19"/>
      <c r="AL18" s="19"/>
      <c r="AM18" s="19"/>
      <c r="AN18" s="108"/>
      <c r="AO18" s="113">
        <f t="shared" si="11"/>
        <v>163</v>
      </c>
      <c r="AP18" s="179">
        <f t="shared" si="12"/>
        <v>90.75</v>
      </c>
      <c r="AQ18" s="184">
        <f t="shared" si="13"/>
        <v>36.300000000000004</v>
      </c>
      <c r="AR18" s="38">
        <v>88</v>
      </c>
      <c r="AS18" s="108"/>
      <c r="AT18" s="113">
        <f t="shared" si="14"/>
        <v>88</v>
      </c>
      <c r="AU18" s="179">
        <f t="shared" si="15"/>
        <v>94</v>
      </c>
      <c r="AV18" s="183">
        <f t="shared" si="16"/>
        <v>47</v>
      </c>
      <c r="AW18" s="139">
        <f t="shared" si="25"/>
        <v>93.300000000000011</v>
      </c>
      <c r="AX18" s="113" t="str">
        <f t="shared" si="26"/>
        <v>PASSED</v>
      </c>
      <c r="AZ18" s="151">
        <f t="shared" si="17"/>
        <v>55.169999999999995</v>
      </c>
      <c r="BA18" s="151">
        <f t="shared" si="18"/>
        <v>37.320000000000007</v>
      </c>
      <c r="BB18" s="151">
        <f t="shared" si="19"/>
        <v>92.490000000000009</v>
      </c>
      <c r="BC18" s="24" t="str">
        <f t="shared" si="20"/>
        <v>PASSED</v>
      </c>
    </row>
    <row r="19" spans="1:55" ht="16.8" thickTop="1" thickBot="1" x14ac:dyDescent="0.35">
      <c r="A19" s="19">
        <f>Attendance!A17</f>
        <v>10</v>
      </c>
      <c r="B19" s="20" t="str">
        <f>Attendance!B17</f>
        <v>Bas, Disney Claire Barde</v>
      </c>
      <c r="C19" s="97">
        <f>Attendance!S17</f>
        <v>3</v>
      </c>
      <c r="D19" s="151">
        <f t="shared" si="21"/>
        <v>100</v>
      </c>
      <c r="E19" s="182">
        <f t="shared" si="0"/>
        <v>5</v>
      </c>
      <c r="F19" s="25">
        <v>40</v>
      </c>
      <c r="G19" s="29"/>
      <c r="H19" s="103"/>
      <c r="I19" s="24">
        <f t="shared" si="22"/>
        <v>40</v>
      </c>
      <c r="J19" s="151">
        <f t="shared" si="1"/>
        <v>90</v>
      </c>
      <c r="K19" s="182">
        <f t="shared" si="23"/>
        <v>13.5</v>
      </c>
      <c r="L19" s="28">
        <v>13</v>
      </c>
      <c r="M19" s="29">
        <v>9</v>
      </c>
      <c r="N19" s="29">
        <v>44</v>
      </c>
      <c r="O19" s="103"/>
      <c r="P19" s="24">
        <f t="shared" si="2"/>
        <v>66</v>
      </c>
      <c r="Q19" s="151">
        <f t="shared" si="3"/>
        <v>94</v>
      </c>
      <c r="R19" s="182">
        <f t="shared" si="4"/>
        <v>28.2</v>
      </c>
      <c r="S19" s="106">
        <v>77</v>
      </c>
      <c r="T19" s="151">
        <f t="shared" si="5"/>
        <v>98.125</v>
      </c>
      <c r="U19" s="182">
        <f t="shared" si="6"/>
        <v>49.0625</v>
      </c>
      <c r="V19" s="180">
        <f t="shared" si="7"/>
        <v>95.762500000000003</v>
      </c>
      <c r="W19" s="24" t="str">
        <f t="shared" si="24"/>
        <v>PASSED</v>
      </c>
      <c r="Z19" s="37">
        <v>3</v>
      </c>
      <c r="AA19" s="19">
        <v>3</v>
      </c>
      <c r="AB19" s="19">
        <v>3</v>
      </c>
      <c r="AC19" s="19"/>
      <c r="AD19" s="19"/>
      <c r="AE19" s="108"/>
      <c r="AF19" s="113">
        <f t="shared" si="8"/>
        <v>9</v>
      </c>
      <c r="AG19" s="179">
        <f t="shared" si="9"/>
        <v>100</v>
      </c>
      <c r="AH19" s="184">
        <f t="shared" si="10"/>
        <v>10</v>
      </c>
      <c r="AI19" s="37">
        <v>75</v>
      </c>
      <c r="AJ19" s="19">
        <v>88</v>
      </c>
      <c r="AK19" s="19"/>
      <c r="AL19" s="19"/>
      <c r="AM19" s="19"/>
      <c r="AN19" s="108"/>
      <c r="AO19" s="113">
        <f t="shared" si="11"/>
        <v>163</v>
      </c>
      <c r="AP19" s="179">
        <f t="shared" si="12"/>
        <v>90.75</v>
      </c>
      <c r="AQ19" s="184">
        <f t="shared" si="13"/>
        <v>36.300000000000004</v>
      </c>
      <c r="AR19" s="38">
        <v>91</v>
      </c>
      <c r="AS19" s="108"/>
      <c r="AT19" s="113">
        <f t="shared" si="14"/>
        <v>91</v>
      </c>
      <c r="AU19" s="179">
        <f t="shared" si="15"/>
        <v>95.5</v>
      </c>
      <c r="AV19" s="183">
        <f t="shared" si="16"/>
        <v>47.75</v>
      </c>
      <c r="AW19" s="139">
        <f t="shared" si="25"/>
        <v>94.050000000000011</v>
      </c>
      <c r="AX19" s="113" t="str">
        <f t="shared" si="26"/>
        <v>PASSED</v>
      </c>
      <c r="AZ19" s="151">
        <f t="shared" si="17"/>
        <v>57.457500000000003</v>
      </c>
      <c r="BA19" s="151">
        <f t="shared" si="18"/>
        <v>37.620000000000005</v>
      </c>
      <c r="BB19" s="151">
        <f t="shared" si="19"/>
        <v>95.077500000000015</v>
      </c>
      <c r="BC19" s="24" t="str">
        <f t="shared" si="20"/>
        <v>PASSED</v>
      </c>
    </row>
    <row r="20" spans="1:55" ht="16.8" thickTop="1" thickBot="1" x14ac:dyDescent="0.35">
      <c r="A20" s="19">
        <f>Attendance!A18</f>
        <v>11</v>
      </c>
      <c r="B20" s="20" t="str">
        <f>Attendance!B18</f>
        <v>Baynosa, Paul Yvanne Alinday</v>
      </c>
      <c r="C20" s="97">
        <f>Attendance!S18</f>
        <v>1</v>
      </c>
      <c r="D20" s="151">
        <f t="shared" si="21"/>
        <v>66.666666666666657</v>
      </c>
      <c r="E20" s="182">
        <f t="shared" si="0"/>
        <v>3.333333333333333</v>
      </c>
      <c r="F20" s="25">
        <v>40</v>
      </c>
      <c r="G20" s="29"/>
      <c r="H20" s="103"/>
      <c r="I20" s="24">
        <f t="shared" si="22"/>
        <v>40</v>
      </c>
      <c r="J20" s="151">
        <f t="shared" si="1"/>
        <v>90</v>
      </c>
      <c r="K20" s="182">
        <f t="shared" si="23"/>
        <v>13.5</v>
      </c>
      <c r="L20" s="28">
        <v>9</v>
      </c>
      <c r="M20" s="29">
        <v>0</v>
      </c>
      <c r="N20" s="29">
        <v>41</v>
      </c>
      <c r="O20" s="103"/>
      <c r="P20" s="24">
        <f t="shared" si="2"/>
        <v>50</v>
      </c>
      <c r="Q20" s="151">
        <f t="shared" si="3"/>
        <v>83.333333333333329</v>
      </c>
      <c r="R20" s="182">
        <f t="shared" si="4"/>
        <v>24.999999999999996</v>
      </c>
      <c r="S20" s="106">
        <v>40</v>
      </c>
      <c r="T20" s="151">
        <f t="shared" si="5"/>
        <v>75</v>
      </c>
      <c r="U20" s="182">
        <f t="shared" si="6"/>
        <v>37.5</v>
      </c>
      <c r="V20" s="180">
        <f t="shared" si="7"/>
        <v>79.333333333333329</v>
      </c>
      <c r="W20" s="24" t="str">
        <f t="shared" si="24"/>
        <v>PASSED</v>
      </c>
      <c r="Z20" s="37">
        <v>0</v>
      </c>
      <c r="AA20" s="19">
        <v>3</v>
      </c>
      <c r="AB20" s="19">
        <v>0</v>
      </c>
      <c r="AC20" s="19"/>
      <c r="AD20" s="19"/>
      <c r="AE20" s="108"/>
      <c r="AF20" s="113">
        <f t="shared" si="8"/>
        <v>3</v>
      </c>
      <c r="AG20" s="179">
        <f t="shared" si="9"/>
        <v>66.666666666666657</v>
      </c>
      <c r="AH20" s="184">
        <f t="shared" si="10"/>
        <v>6.6666666666666661</v>
      </c>
      <c r="AI20" s="37">
        <v>0</v>
      </c>
      <c r="AJ20" s="19">
        <v>0</v>
      </c>
      <c r="AK20" s="19"/>
      <c r="AL20" s="19"/>
      <c r="AM20" s="19"/>
      <c r="AN20" s="108"/>
      <c r="AO20" s="113">
        <f t="shared" si="11"/>
        <v>0</v>
      </c>
      <c r="AP20" s="179">
        <f t="shared" si="12"/>
        <v>50</v>
      </c>
      <c r="AQ20" s="184">
        <f t="shared" si="13"/>
        <v>20</v>
      </c>
      <c r="AR20" s="38">
        <v>91</v>
      </c>
      <c r="AS20" s="108"/>
      <c r="AT20" s="113">
        <f t="shared" si="14"/>
        <v>91</v>
      </c>
      <c r="AU20" s="179">
        <f t="shared" si="15"/>
        <v>95.5</v>
      </c>
      <c r="AV20" s="183">
        <f t="shared" si="16"/>
        <v>47.75</v>
      </c>
      <c r="AW20" s="139">
        <f t="shared" si="25"/>
        <v>74.416666666666671</v>
      </c>
      <c r="AX20" s="113" t="str">
        <f t="shared" si="26"/>
        <v>FAILED</v>
      </c>
      <c r="AZ20" s="151">
        <f t="shared" si="17"/>
        <v>47.599999999999994</v>
      </c>
      <c r="BA20" s="151">
        <f t="shared" si="18"/>
        <v>29.766666666666669</v>
      </c>
      <c r="BB20" s="151">
        <f t="shared" si="19"/>
        <v>77.36666666666666</v>
      </c>
      <c r="BC20" s="24" t="str">
        <f t="shared" si="20"/>
        <v>PASSED</v>
      </c>
    </row>
    <row r="21" spans="1:55" ht="16.8" thickTop="1" thickBot="1" x14ac:dyDescent="0.35">
      <c r="A21" s="19">
        <f>Attendance!A19</f>
        <v>12</v>
      </c>
      <c r="B21" s="20" t="str">
        <f>Attendance!B19</f>
        <v>Benig, Timothy Jade Crave</v>
      </c>
      <c r="C21" s="97">
        <f>Attendance!S19</f>
        <v>1</v>
      </c>
      <c r="D21" s="151">
        <f t="shared" si="21"/>
        <v>66.666666666666657</v>
      </c>
      <c r="E21" s="182">
        <f t="shared" si="0"/>
        <v>3.333333333333333</v>
      </c>
      <c r="F21" s="25">
        <v>40</v>
      </c>
      <c r="G21" s="29"/>
      <c r="H21" s="103"/>
      <c r="I21" s="24">
        <f t="shared" si="22"/>
        <v>40</v>
      </c>
      <c r="J21" s="151">
        <f t="shared" si="1"/>
        <v>90</v>
      </c>
      <c r="K21" s="182">
        <f t="shared" si="23"/>
        <v>13.5</v>
      </c>
      <c r="L21" s="28">
        <v>10</v>
      </c>
      <c r="M21" s="29">
        <v>0</v>
      </c>
      <c r="N21" s="29">
        <v>45</v>
      </c>
      <c r="O21" s="103"/>
      <c r="P21" s="24">
        <f t="shared" si="2"/>
        <v>55</v>
      </c>
      <c r="Q21" s="151">
        <f t="shared" si="3"/>
        <v>86.666666666666657</v>
      </c>
      <c r="R21" s="182">
        <f t="shared" si="4"/>
        <v>25.999999999999996</v>
      </c>
      <c r="S21" s="106">
        <v>75</v>
      </c>
      <c r="T21" s="151">
        <f t="shared" si="5"/>
        <v>96.875</v>
      </c>
      <c r="U21" s="182">
        <f t="shared" si="6"/>
        <v>48.4375</v>
      </c>
      <c r="V21" s="180">
        <f t="shared" si="7"/>
        <v>91.270833333333329</v>
      </c>
      <c r="W21" s="24" t="str">
        <f t="shared" si="24"/>
        <v>PASSED</v>
      </c>
      <c r="Z21" s="37">
        <v>0</v>
      </c>
      <c r="AA21" s="19">
        <v>3</v>
      </c>
      <c r="AB21" s="19">
        <v>0</v>
      </c>
      <c r="AC21" s="19"/>
      <c r="AD21" s="19"/>
      <c r="AE21" s="108"/>
      <c r="AF21" s="113">
        <f t="shared" si="8"/>
        <v>3</v>
      </c>
      <c r="AG21" s="179">
        <f t="shared" si="9"/>
        <v>66.666666666666657</v>
      </c>
      <c r="AH21" s="184">
        <f t="shared" si="10"/>
        <v>6.6666666666666661</v>
      </c>
      <c r="AI21" s="37">
        <v>0</v>
      </c>
      <c r="AJ21" s="19">
        <v>0</v>
      </c>
      <c r="AK21" s="19"/>
      <c r="AL21" s="19"/>
      <c r="AM21" s="19"/>
      <c r="AN21" s="108"/>
      <c r="AO21" s="113">
        <f t="shared" si="11"/>
        <v>0</v>
      </c>
      <c r="AP21" s="179">
        <f t="shared" si="12"/>
        <v>50</v>
      </c>
      <c r="AQ21" s="184">
        <f t="shared" si="13"/>
        <v>20</v>
      </c>
      <c r="AR21" s="38">
        <v>88</v>
      </c>
      <c r="AS21" s="108"/>
      <c r="AT21" s="113">
        <f t="shared" si="14"/>
        <v>88</v>
      </c>
      <c r="AU21" s="179">
        <f t="shared" si="15"/>
        <v>94</v>
      </c>
      <c r="AV21" s="183">
        <f t="shared" si="16"/>
        <v>47</v>
      </c>
      <c r="AW21" s="139">
        <f t="shared" si="25"/>
        <v>73.666666666666671</v>
      </c>
      <c r="AX21" s="113" t="str">
        <f t="shared" si="26"/>
        <v>FAILED</v>
      </c>
      <c r="AZ21" s="151">
        <f t="shared" si="17"/>
        <v>54.762499999999996</v>
      </c>
      <c r="BA21" s="151">
        <f t="shared" si="18"/>
        <v>29.466666666666669</v>
      </c>
      <c r="BB21" s="151">
        <f t="shared" si="19"/>
        <v>84.229166666666657</v>
      </c>
      <c r="BC21" s="24" t="str">
        <f t="shared" si="20"/>
        <v>PASSED</v>
      </c>
    </row>
    <row r="22" spans="1:55" ht="16.8" thickTop="1" thickBot="1" x14ac:dyDescent="0.35">
      <c r="A22" s="19">
        <f>Attendance!A20</f>
        <v>13</v>
      </c>
      <c r="B22" s="20" t="str">
        <f>Attendance!B20</f>
        <v>Bolambao, Elaiza Claire Umbay</v>
      </c>
      <c r="C22" s="97">
        <f>Attendance!S20</f>
        <v>3</v>
      </c>
      <c r="D22" s="151">
        <f t="shared" si="21"/>
        <v>100</v>
      </c>
      <c r="E22" s="182">
        <f t="shared" si="0"/>
        <v>5</v>
      </c>
      <c r="F22" s="25">
        <v>40</v>
      </c>
      <c r="G22" s="29"/>
      <c r="H22" s="103"/>
      <c r="I22" s="24">
        <f t="shared" si="22"/>
        <v>40</v>
      </c>
      <c r="J22" s="151">
        <f t="shared" si="1"/>
        <v>90</v>
      </c>
      <c r="K22" s="182">
        <f t="shared" si="23"/>
        <v>13.5</v>
      </c>
      <c r="L22" s="28">
        <v>9</v>
      </c>
      <c r="M22" s="29">
        <v>8</v>
      </c>
      <c r="N22" s="29">
        <v>43</v>
      </c>
      <c r="O22" s="103"/>
      <c r="P22" s="24">
        <f t="shared" si="2"/>
        <v>60</v>
      </c>
      <c r="Q22" s="151">
        <f t="shared" si="3"/>
        <v>90</v>
      </c>
      <c r="R22" s="182">
        <f t="shared" si="4"/>
        <v>27</v>
      </c>
      <c r="S22" s="106">
        <v>60</v>
      </c>
      <c r="T22" s="151">
        <f t="shared" si="5"/>
        <v>87.5</v>
      </c>
      <c r="U22" s="182">
        <f t="shared" si="6"/>
        <v>43.75</v>
      </c>
      <c r="V22" s="180">
        <f t="shared" si="7"/>
        <v>89.25</v>
      </c>
      <c r="W22" s="24" t="str">
        <f t="shared" si="24"/>
        <v>PASSED</v>
      </c>
      <c r="Z22" s="37">
        <v>3</v>
      </c>
      <c r="AA22" s="19">
        <v>3</v>
      </c>
      <c r="AB22" s="19">
        <v>3</v>
      </c>
      <c r="AC22" s="19"/>
      <c r="AD22" s="19"/>
      <c r="AE22" s="108"/>
      <c r="AF22" s="113">
        <f t="shared" si="8"/>
        <v>9</v>
      </c>
      <c r="AG22" s="179">
        <f t="shared" si="9"/>
        <v>100</v>
      </c>
      <c r="AH22" s="184">
        <f t="shared" si="10"/>
        <v>10</v>
      </c>
      <c r="AI22" s="37">
        <v>75</v>
      </c>
      <c r="AJ22" s="19">
        <v>71</v>
      </c>
      <c r="AK22" s="19"/>
      <c r="AL22" s="19"/>
      <c r="AM22" s="19"/>
      <c r="AN22" s="108"/>
      <c r="AO22" s="113">
        <f t="shared" si="11"/>
        <v>146</v>
      </c>
      <c r="AP22" s="179">
        <f t="shared" si="12"/>
        <v>86.5</v>
      </c>
      <c r="AQ22" s="184">
        <f t="shared" si="13"/>
        <v>34.6</v>
      </c>
      <c r="AR22" s="38">
        <v>91</v>
      </c>
      <c r="AS22" s="108"/>
      <c r="AT22" s="113">
        <f t="shared" si="14"/>
        <v>91</v>
      </c>
      <c r="AU22" s="179">
        <f t="shared" si="15"/>
        <v>95.5</v>
      </c>
      <c r="AV22" s="183">
        <f t="shared" si="16"/>
        <v>47.75</v>
      </c>
      <c r="AW22" s="139">
        <f t="shared" si="25"/>
        <v>92.35</v>
      </c>
      <c r="AX22" s="113" t="str">
        <f t="shared" si="26"/>
        <v>PASSED</v>
      </c>
      <c r="AZ22" s="151">
        <f t="shared" si="17"/>
        <v>53.55</v>
      </c>
      <c r="BA22" s="151">
        <f t="shared" si="18"/>
        <v>36.94</v>
      </c>
      <c r="BB22" s="151">
        <f t="shared" si="19"/>
        <v>90.49</v>
      </c>
      <c r="BC22" s="24" t="str">
        <f t="shared" si="20"/>
        <v>PASSED</v>
      </c>
    </row>
    <row r="23" spans="1:55" ht="16.8" thickTop="1" thickBot="1" x14ac:dyDescent="0.35">
      <c r="A23" s="19">
        <f>Attendance!A21</f>
        <v>14</v>
      </c>
      <c r="B23" s="20" t="str">
        <f>Attendance!B21</f>
        <v>Bulado, Dexter Camillo</v>
      </c>
      <c r="C23" s="97">
        <f>Attendance!S21</f>
        <v>1</v>
      </c>
      <c r="D23" s="151">
        <f t="shared" si="21"/>
        <v>66.666666666666657</v>
      </c>
      <c r="E23" s="182">
        <f t="shared" si="0"/>
        <v>3.333333333333333</v>
      </c>
      <c r="F23" s="25">
        <v>40</v>
      </c>
      <c r="G23" s="29"/>
      <c r="H23" s="103"/>
      <c r="I23" s="24">
        <f t="shared" si="22"/>
        <v>40</v>
      </c>
      <c r="J23" s="151">
        <f t="shared" si="1"/>
        <v>90</v>
      </c>
      <c r="K23" s="182">
        <f t="shared" si="23"/>
        <v>13.5</v>
      </c>
      <c r="L23" s="28">
        <v>3</v>
      </c>
      <c r="M23" s="29">
        <v>0</v>
      </c>
      <c r="N23" s="29">
        <v>41</v>
      </c>
      <c r="O23" s="103"/>
      <c r="P23" s="24">
        <f t="shared" si="2"/>
        <v>44</v>
      </c>
      <c r="Q23" s="151">
        <f t="shared" si="3"/>
        <v>79.333333333333329</v>
      </c>
      <c r="R23" s="182">
        <f t="shared" si="4"/>
        <v>23.799999999999997</v>
      </c>
      <c r="S23" s="106">
        <v>48</v>
      </c>
      <c r="T23" s="151">
        <f t="shared" si="5"/>
        <v>80</v>
      </c>
      <c r="U23" s="182">
        <f t="shared" si="6"/>
        <v>40</v>
      </c>
      <c r="V23" s="180">
        <f t="shared" si="7"/>
        <v>80.633333333333326</v>
      </c>
      <c r="W23" s="24" t="str">
        <f t="shared" si="24"/>
        <v>PASSED</v>
      </c>
      <c r="Z23" s="37">
        <v>0</v>
      </c>
      <c r="AA23" s="19">
        <v>3</v>
      </c>
      <c r="AB23" s="19">
        <v>0</v>
      </c>
      <c r="AC23" s="19"/>
      <c r="AD23" s="19"/>
      <c r="AE23" s="108"/>
      <c r="AF23" s="113">
        <f t="shared" si="8"/>
        <v>3</v>
      </c>
      <c r="AG23" s="179">
        <f t="shared" si="9"/>
        <v>66.666666666666657</v>
      </c>
      <c r="AH23" s="184">
        <f t="shared" si="10"/>
        <v>6.6666666666666661</v>
      </c>
      <c r="AI23" s="37">
        <v>0</v>
      </c>
      <c r="AJ23" s="19">
        <v>0</v>
      </c>
      <c r="AK23" s="19"/>
      <c r="AL23" s="19"/>
      <c r="AM23" s="19"/>
      <c r="AN23" s="108"/>
      <c r="AO23" s="113">
        <f t="shared" si="11"/>
        <v>0</v>
      </c>
      <c r="AP23" s="179">
        <f t="shared" si="12"/>
        <v>50</v>
      </c>
      <c r="AQ23" s="184">
        <f t="shared" si="13"/>
        <v>20</v>
      </c>
      <c r="AR23" s="38">
        <v>90</v>
      </c>
      <c r="AS23" s="108"/>
      <c r="AT23" s="113">
        <f t="shared" si="14"/>
        <v>90</v>
      </c>
      <c r="AU23" s="179">
        <f t="shared" si="15"/>
        <v>95</v>
      </c>
      <c r="AV23" s="183">
        <f t="shared" si="16"/>
        <v>47.5</v>
      </c>
      <c r="AW23" s="139">
        <f t="shared" si="25"/>
        <v>74.166666666666671</v>
      </c>
      <c r="AX23" s="113" t="str">
        <f t="shared" si="26"/>
        <v>FAILED</v>
      </c>
      <c r="AZ23" s="151">
        <f t="shared" si="17"/>
        <v>48.379999999999995</v>
      </c>
      <c r="BA23" s="151">
        <f t="shared" si="18"/>
        <v>29.666666666666671</v>
      </c>
      <c r="BB23" s="151">
        <f t="shared" si="19"/>
        <v>78.046666666666667</v>
      </c>
      <c r="BC23" s="24" t="str">
        <f t="shared" si="20"/>
        <v>PASSED</v>
      </c>
    </row>
    <row r="24" spans="1:55" ht="16.8" thickTop="1" thickBot="1" x14ac:dyDescent="0.35">
      <c r="A24" s="19">
        <f>Attendance!A22</f>
        <v>15</v>
      </c>
      <c r="B24" s="20" t="str">
        <f>Attendance!B22</f>
        <v>Cagang, Anjune Carcueva</v>
      </c>
      <c r="C24" s="97">
        <f>Attendance!S22</f>
        <v>3</v>
      </c>
      <c r="D24" s="151">
        <f t="shared" si="21"/>
        <v>100</v>
      </c>
      <c r="E24" s="182">
        <f t="shared" si="0"/>
        <v>5</v>
      </c>
      <c r="F24" s="25">
        <v>40</v>
      </c>
      <c r="G24" s="29"/>
      <c r="H24" s="103"/>
      <c r="I24" s="24">
        <f t="shared" si="22"/>
        <v>40</v>
      </c>
      <c r="J24" s="151">
        <f t="shared" si="1"/>
        <v>90</v>
      </c>
      <c r="K24" s="182">
        <f t="shared" si="23"/>
        <v>13.5</v>
      </c>
      <c r="L24" s="28">
        <v>7</v>
      </c>
      <c r="M24" s="29">
        <v>8</v>
      </c>
      <c r="N24" s="29">
        <v>41</v>
      </c>
      <c r="O24" s="103"/>
      <c r="P24" s="24">
        <f t="shared" si="2"/>
        <v>56</v>
      </c>
      <c r="Q24" s="151">
        <f t="shared" si="3"/>
        <v>87.333333333333343</v>
      </c>
      <c r="R24" s="182">
        <f t="shared" si="4"/>
        <v>26.200000000000003</v>
      </c>
      <c r="S24" s="106">
        <v>67</v>
      </c>
      <c r="T24" s="151">
        <f t="shared" si="5"/>
        <v>91.875</v>
      </c>
      <c r="U24" s="182">
        <f t="shared" si="6"/>
        <v>45.9375</v>
      </c>
      <c r="V24" s="180">
        <f t="shared" si="7"/>
        <v>90.637500000000003</v>
      </c>
      <c r="W24" s="24" t="str">
        <f t="shared" si="24"/>
        <v>PASSED</v>
      </c>
      <c r="Z24" s="37">
        <v>3</v>
      </c>
      <c r="AA24" s="19">
        <v>3</v>
      </c>
      <c r="AB24" s="19">
        <v>3</v>
      </c>
      <c r="AC24" s="19"/>
      <c r="AD24" s="19"/>
      <c r="AE24" s="108"/>
      <c r="AF24" s="113">
        <f t="shared" si="8"/>
        <v>9</v>
      </c>
      <c r="AG24" s="179">
        <f t="shared" si="9"/>
        <v>100</v>
      </c>
      <c r="AH24" s="184">
        <f t="shared" si="10"/>
        <v>10</v>
      </c>
      <c r="AI24" s="37">
        <v>88</v>
      </c>
      <c r="AJ24" s="19">
        <v>75</v>
      </c>
      <c r="AK24" s="19"/>
      <c r="AL24" s="19"/>
      <c r="AM24" s="19"/>
      <c r="AN24" s="108"/>
      <c r="AO24" s="113">
        <f t="shared" si="11"/>
        <v>163</v>
      </c>
      <c r="AP24" s="179">
        <f t="shared" si="12"/>
        <v>90.75</v>
      </c>
      <c r="AQ24" s="184">
        <f t="shared" si="13"/>
        <v>36.300000000000004</v>
      </c>
      <c r="AR24" s="38">
        <v>94</v>
      </c>
      <c r="AS24" s="108"/>
      <c r="AT24" s="113">
        <f t="shared" si="14"/>
        <v>94</v>
      </c>
      <c r="AU24" s="179">
        <f t="shared" si="15"/>
        <v>97</v>
      </c>
      <c r="AV24" s="183">
        <f t="shared" si="16"/>
        <v>48.5</v>
      </c>
      <c r="AW24" s="139">
        <f t="shared" si="25"/>
        <v>94.800000000000011</v>
      </c>
      <c r="AX24" s="113" t="str">
        <f t="shared" si="26"/>
        <v>PASSED</v>
      </c>
      <c r="AZ24" s="151">
        <f t="shared" si="17"/>
        <v>54.3825</v>
      </c>
      <c r="BA24" s="151">
        <f t="shared" si="18"/>
        <v>37.920000000000009</v>
      </c>
      <c r="BB24" s="151">
        <f t="shared" si="19"/>
        <v>92.302500000000009</v>
      </c>
      <c r="BC24" s="24" t="str">
        <f t="shared" si="20"/>
        <v>PASSED</v>
      </c>
    </row>
    <row r="25" spans="1:55" ht="16.8" thickTop="1" thickBot="1" x14ac:dyDescent="0.35">
      <c r="A25" s="19">
        <f>Attendance!A23</f>
        <v>16</v>
      </c>
      <c r="B25" s="20" t="str">
        <f>Attendance!B23</f>
        <v>Datuin, Francis Carl Mag-aso</v>
      </c>
      <c r="C25" s="97">
        <f>Attendance!S23</f>
        <v>3</v>
      </c>
      <c r="D25" s="151">
        <f t="shared" si="21"/>
        <v>100</v>
      </c>
      <c r="E25" s="182">
        <f t="shared" si="0"/>
        <v>5</v>
      </c>
      <c r="F25" s="25">
        <v>40</v>
      </c>
      <c r="G25" s="29"/>
      <c r="H25" s="103"/>
      <c r="I25" s="24">
        <f t="shared" si="22"/>
        <v>40</v>
      </c>
      <c r="J25" s="151">
        <f t="shared" si="1"/>
        <v>90</v>
      </c>
      <c r="K25" s="182">
        <f t="shared" si="23"/>
        <v>13.5</v>
      </c>
      <c r="L25" s="28">
        <v>10</v>
      </c>
      <c r="M25" s="29">
        <v>0</v>
      </c>
      <c r="N25" s="29">
        <v>31</v>
      </c>
      <c r="O25" s="103"/>
      <c r="P25" s="24">
        <f t="shared" si="2"/>
        <v>41</v>
      </c>
      <c r="Q25" s="151">
        <f t="shared" si="3"/>
        <v>77.333333333333329</v>
      </c>
      <c r="R25" s="182">
        <f t="shared" si="4"/>
        <v>23.2</v>
      </c>
      <c r="S25" s="106">
        <v>54</v>
      </c>
      <c r="T25" s="151">
        <f t="shared" si="5"/>
        <v>83.75</v>
      </c>
      <c r="U25" s="182">
        <f t="shared" si="6"/>
        <v>41.875</v>
      </c>
      <c r="V25" s="180">
        <f t="shared" si="7"/>
        <v>83.575000000000003</v>
      </c>
      <c r="W25" s="24" t="str">
        <f t="shared" si="24"/>
        <v>PASSED</v>
      </c>
      <c r="Z25" s="37">
        <v>0</v>
      </c>
      <c r="AA25" s="19">
        <v>3</v>
      </c>
      <c r="AB25" s="19">
        <v>0</v>
      </c>
      <c r="AC25" s="19"/>
      <c r="AD25" s="19"/>
      <c r="AE25" s="108"/>
      <c r="AF25" s="113">
        <f t="shared" si="8"/>
        <v>3</v>
      </c>
      <c r="AG25" s="179">
        <f t="shared" si="9"/>
        <v>66.666666666666657</v>
      </c>
      <c r="AH25" s="184">
        <f t="shared" si="10"/>
        <v>6.6666666666666661</v>
      </c>
      <c r="AI25" s="37">
        <v>0</v>
      </c>
      <c r="AJ25" s="19">
        <v>0</v>
      </c>
      <c r="AK25" s="19"/>
      <c r="AL25" s="19"/>
      <c r="AM25" s="19"/>
      <c r="AN25" s="108"/>
      <c r="AO25" s="113">
        <f t="shared" si="11"/>
        <v>0</v>
      </c>
      <c r="AP25" s="179">
        <f t="shared" si="12"/>
        <v>50</v>
      </c>
      <c r="AQ25" s="184">
        <f t="shared" si="13"/>
        <v>20</v>
      </c>
      <c r="AR25" s="38">
        <v>89</v>
      </c>
      <c r="AS25" s="108"/>
      <c r="AT25" s="113">
        <f t="shared" si="14"/>
        <v>89</v>
      </c>
      <c r="AU25" s="179">
        <f t="shared" si="15"/>
        <v>94.5</v>
      </c>
      <c r="AV25" s="183">
        <f t="shared" si="16"/>
        <v>47.25</v>
      </c>
      <c r="AW25" s="139">
        <f t="shared" si="25"/>
        <v>73.916666666666671</v>
      </c>
      <c r="AX25" s="113" t="str">
        <f t="shared" si="26"/>
        <v>FAILED</v>
      </c>
      <c r="AZ25" s="151">
        <f t="shared" si="17"/>
        <v>50.145000000000003</v>
      </c>
      <c r="BA25" s="151">
        <f t="shared" si="18"/>
        <v>29.56666666666667</v>
      </c>
      <c r="BB25" s="151">
        <f t="shared" si="19"/>
        <v>79.711666666666673</v>
      </c>
      <c r="BC25" s="24" t="str">
        <f t="shared" si="20"/>
        <v>PASSED</v>
      </c>
    </row>
    <row r="26" spans="1:55" ht="16.8" thickTop="1" thickBot="1" x14ac:dyDescent="0.35">
      <c r="A26" s="19">
        <f>Attendance!A24</f>
        <v>17</v>
      </c>
      <c r="B26" s="20" t="str">
        <f>Attendance!B24</f>
        <v>Detoperez, Knytz Panizales</v>
      </c>
      <c r="C26" s="97">
        <f>Attendance!S24</f>
        <v>3</v>
      </c>
      <c r="D26" s="151">
        <f t="shared" si="21"/>
        <v>100</v>
      </c>
      <c r="E26" s="182">
        <f t="shared" si="0"/>
        <v>5</v>
      </c>
      <c r="F26" s="25">
        <v>40</v>
      </c>
      <c r="G26" s="29"/>
      <c r="H26" s="103"/>
      <c r="I26" s="24">
        <f t="shared" si="22"/>
        <v>40</v>
      </c>
      <c r="J26" s="151">
        <f t="shared" si="1"/>
        <v>90</v>
      </c>
      <c r="K26" s="182">
        <f t="shared" si="23"/>
        <v>13.5</v>
      </c>
      <c r="L26" s="28">
        <v>11</v>
      </c>
      <c r="M26" s="29">
        <v>6</v>
      </c>
      <c r="N26" s="29">
        <v>43</v>
      </c>
      <c r="O26" s="103"/>
      <c r="P26" s="24">
        <f t="shared" si="2"/>
        <v>60</v>
      </c>
      <c r="Q26" s="151">
        <f t="shared" si="3"/>
        <v>90</v>
      </c>
      <c r="R26" s="182">
        <f t="shared" si="4"/>
        <v>27</v>
      </c>
      <c r="S26" s="106">
        <v>66</v>
      </c>
      <c r="T26" s="151">
        <f t="shared" si="5"/>
        <v>91.25</v>
      </c>
      <c r="U26" s="182">
        <f t="shared" si="6"/>
        <v>45.625</v>
      </c>
      <c r="V26" s="180">
        <f t="shared" si="7"/>
        <v>91.125</v>
      </c>
      <c r="W26" s="24" t="str">
        <f t="shared" si="24"/>
        <v>PASSED</v>
      </c>
      <c r="Z26" s="37">
        <v>3</v>
      </c>
      <c r="AA26" s="19">
        <v>3</v>
      </c>
      <c r="AB26" s="19">
        <v>3</v>
      </c>
      <c r="AC26" s="19"/>
      <c r="AD26" s="19"/>
      <c r="AE26" s="108"/>
      <c r="AF26" s="113">
        <f t="shared" si="8"/>
        <v>9</v>
      </c>
      <c r="AG26" s="179">
        <f t="shared" si="9"/>
        <v>100</v>
      </c>
      <c r="AH26" s="184">
        <f t="shared" si="10"/>
        <v>10</v>
      </c>
      <c r="AI26" s="37">
        <v>88</v>
      </c>
      <c r="AJ26" s="19">
        <v>81</v>
      </c>
      <c r="AK26" s="19"/>
      <c r="AL26" s="19"/>
      <c r="AM26" s="19"/>
      <c r="AN26" s="108"/>
      <c r="AO26" s="113">
        <f t="shared" si="11"/>
        <v>169</v>
      </c>
      <c r="AP26" s="179">
        <f t="shared" si="12"/>
        <v>92.25</v>
      </c>
      <c r="AQ26" s="184">
        <f t="shared" si="13"/>
        <v>36.9</v>
      </c>
      <c r="AR26" s="38">
        <v>88</v>
      </c>
      <c r="AS26" s="108"/>
      <c r="AT26" s="113">
        <f t="shared" si="14"/>
        <v>88</v>
      </c>
      <c r="AU26" s="179">
        <f t="shared" si="15"/>
        <v>94</v>
      </c>
      <c r="AV26" s="183">
        <f t="shared" si="16"/>
        <v>47</v>
      </c>
      <c r="AW26" s="139">
        <f t="shared" si="25"/>
        <v>93.9</v>
      </c>
      <c r="AX26" s="113" t="str">
        <f t="shared" si="26"/>
        <v>PASSED</v>
      </c>
      <c r="AZ26" s="151">
        <f t="shared" si="17"/>
        <v>54.674999999999997</v>
      </c>
      <c r="BA26" s="151">
        <f t="shared" si="18"/>
        <v>37.56</v>
      </c>
      <c r="BB26" s="151">
        <f t="shared" si="19"/>
        <v>92.234999999999999</v>
      </c>
      <c r="BC26" s="24" t="str">
        <f t="shared" si="20"/>
        <v>PASSED</v>
      </c>
    </row>
    <row r="27" spans="1:55" ht="16.8" thickTop="1" thickBot="1" x14ac:dyDescent="0.35">
      <c r="A27" s="19">
        <f>Attendance!A25</f>
        <v>18</v>
      </c>
      <c r="B27" s="20" t="str">
        <f>Attendance!B25</f>
        <v>Dilanggalen, Hanz Amher Rollo</v>
      </c>
      <c r="C27" s="97">
        <f>Attendance!S25</f>
        <v>2</v>
      </c>
      <c r="D27" s="151">
        <f t="shared" si="21"/>
        <v>83.333333333333329</v>
      </c>
      <c r="E27" s="182">
        <f t="shared" si="0"/>
        <v>4.166666666666667</v>
      </c>
      <c r="F27" s="25">
        <v>40</v>
      </c>
      <c r="G27" s="29"/>
      <c r="H27" s="103"/>
      <c r="I27" s="24">
        <f t="shared" si="22"/>
        <v>40</v>
      </c>
      <c r="J27" s="151">
        <f t="shared" si="1"/>
        <v>90</v>
      </c>
      <c r="K27" s="182">
        <f t="shared" si="23"/>
        <v>13.5</v>
      </c>
      <c r="L27" s="28">
        <v>10</v>
      </c>
      <c r="M27" s="29">
        <v>5</v>
      </c>
      <c r="N27" s="29">
        <v>47</v>
      </c>
      <c r="O27" s="103"/>
      <c r="P27" s="24">
        <f t="shared" si="2"/>
        <v>62</v>
      </c>
      <c r="Q27" s="151">
        <f t="shared" si="3"/>
        <v>91.333333333333343</v>
      </c>
      <c r="R27" s="182">
        <f t="shared" si="4"/>
        <v>27.400000000000002</v>
      </c>
      <c r="S27" s="106">
        <v>50</v>
      </c>
      <c r="T27" s="151">
        <f t="shared" si="5"/>
        <v>81.25</v>
      </c>
      <c r="U27" s="182">
        <f t="shared" si="6"/>
        <v>40.625</v>
      </c>
      <c r="V27" s="180">
        <f t="shared" si="7"/>
        <v>85.691666666666677</v>
      </c>
      <c r="W27" s="24" t="str">
        <f t="shared" si="24"/>
        <v>PASSED</v>
      </c>
      <c r="Z27" s="37">
        <v>3</v>
      </c>
      <c r="AA27" s="19">
        <v>3</v>
      </c>
      <c r="AB27" s="19">
        <v>3</v>
      </c>
      <c r="AC27" s="19"/>
      <c r="AD27" s="19"/>
      <c r="AE27" s="108"/>
      <c r="AF27" s="113">
        <f t="shared" si="8"/>
        <v>9</v>
      </c>
      <c r="AG27" s="179">
        <f t="shared" si="9"/>
        <v>100</v>
      </c>
      <c r="AH27" s="184">
        <f t="shared" si="10"/>
        <v>10</v>
      </c>
      <c r="AI27" s="37">
        <v>88</v>
      </c>
      <c r="AJ27" s="19">
        <v>88</v>
      </c>
      <c r="AK27" s="19"/>
      <c r="AL27" s="19"/>
      <c r="AM27" s="19"/>
      <c r="AN27" s="108"/>
      <c r="AO27" s="113">
        <f t="shared" si="11"/>
        <v>176</v>
      </c>
      <c r="AP27" s="179">
        <f t="shared" si="12"/>
        <v>94</v>
      </c>
      <c r="AQ27" s="184">
        <f t="shared" si="13"/>
        <v>37.6</v>
      </c>
      <c r="AR27" s="38">
        <v>83</v>
      </c>
      <c r="AS27" s="108"/>
      <c r="AT27" s="113">
        <f t="shared" si="14"/>
        <v>83</v>
      </c>
      <c r="AU27" s="179">
        <f t="shared" si="15"/>
        <v>91.5</v>
      </c>
      <c r="AV27" s="183">
        <f t="shared" si="16"/>
        <v>45.75</v>
      </c>
      <c r="AW27" s="139">
        <f t="shared" si="25"/>
        <v>93.35</v>
      </c>
      <c r="AX27" s="113" t="str">
        <f t="shared" si="26"/>
        <v>PASSED</v>
      </c>
      <c r="AZ27" s="151">
        <f t="shared" si="17"/>
        <v>51.415000000000006</v>
      </c>
      <c r="BA27" s="151">
        <f t="shared" si="18"/>
        <v>37.339999999999996</v>
      </c>
      <c r="BB27" s="151">
        <f t="shared" si="19"/>
        <v>88.754999999999995</v>
      </c>
      <c r="BC27" s="24" t="str">
        <f t="shared" si="20"/>
        <v>PASSED</v>
      </c>
    </row>
    <row r="28" spans="1:55" ht="16.8" thickTop="1" thickBot="1" x14ac:dyDescent="0.35">
      <c r="A28" s="19">
        <f>Attendance!A26</f>
        <v>19</v>
      </c>
      <c r="B28" s="20" t="str">
        <f>Attendance!B26</f>
        <v>Domingo, Arsenio Jr. Dioleste</v>
      </c>
      <c r="C28" s="97">
        <f>Attendance!S26</f>
        <v>3</v>
      </c>
      <c r="D28" s="151">
        <f t="shared" si="21"/>
        <v>100</v>
      </c>
      <c r="E28" s="182">
        <f t="shared" si="0"/>
        <v>5</v>
      </c>
      <c r="F28" s="25">
        <v>40</v>
      </c>
      <c r="G28" s="29"/>
      <c r="H28" s="103"/>
      <c r="I28" s="24">
        <f t="shared" si="22"/>
        <v>40</v>
      </c>
      <c r="J28" s="151">
        <f t="shared" si="1"/>
        <v>90</v>
      </c>
      <c r="K28" s="182">
        <f t="shared" si="23"/>
        <v>13.5</v>
      </c>
      <c r="L28" s="28">
        <v>11</v>
      </c>
      <c r="M28" s="29">
        <v>6</v>
      </c>
      <c r="N28" s="29">
        <v>45</v>
      </c>
      <c r="O28" s="103"/>
      <c r="P28" s="24">
        <f t="shared" si="2"/>
        <v>62</v>
      </c>
      <c r="Q28" s="151">
        <f t="shared" si="3"/>
        <v>91.333333333333343</v>
      </c>
      <c r="R28" s="182">
        <f t="shared" si="4"/>
        <v>27.400000000000002</v>
      </c>
      <c r="S28" s="106">
        <v>70</v>
      </c>
      <c r="T28" s="151">
        <f t="shared" si="5"/>
        <v>93.75</v>
      </c>
      <c r="U28" s="182">
        <f t="shared" si="6"/>
        <v>46.875</v>
      </c>
      <c r="V28" s="180">
        <f t="shared" si="7"/>
        <v>92.775000000000006</v>
      </c>
      <c r="W28" s="24" t="str">
        <f t="shared" si="24"/>
        <v>PASSED</v>
      </c>
      <c r="Z28" s="37">
        <v>3</v>
      </c>
      <c r="AA28" s="19">
        <v>3</v>
      </c>
      <c r="AB28" s="19">
        <v>3</v>
      </c>
      <c r="AC28" s="19"/>
      <c r="AD28" s="19"/>
      <c r="AE28" s="108"/>
      <c r="AF28" s="113">
        <f t="shared" si="8"/>
        <v>9</v>
      </c>
      <c r="AG28" s="179">
        <f t="shared" si="9"/>
        <v>100</v>
      </c>
      <c r="AH28" s="184">
        <f t="shared" si="10"/>
        <v>10</v>
      </c>
      <c r="AI28" s="37">
        <v>80</v>
      </c>
      <c r="AJ28" s="19">
        <v>95</v>
      </c>
      <c r="AK28" s="19"/>
      <c r="AL28" s="19"/>
      <c r="AM28" s="19"/>
      <c r="AN28" s="108"/>
      <c r="AO28" s="113">
        <f t="shared" si="11"/>
        <v>175</v>
      </c>
      <c r="AP28" s="179">
        <f t="shared" si="12"/>
        <v>93.75</v>
      </c>
      <c r="AQ28" s="184">
        <f t="shared" si="13"/>
        <v>37.5</v>
      </c>
      <c r="AR28" s="38">
        <v>91</v>
      </c>
      <c r="AS28" s="108"/>
      <c r="AT28" s="113">
        <f t="shared" si="14"/>
        <v>91</v>
      </c>
      <c r="AU28" s="179">
        <f t="shared" si="15"/>
        <v>95.5</v>
      </c>
      <c r="AV28" s="183">
        <f t="shared" si="16"/>
        <v>47.75</v>
      </c>
      <c r="AW28" s="139">
        <f t="shared" si="25"/>
        <v>95.25</v>
      </c>
      <c r="AX28" s="113" t="str">
        <f t="shared" si="26"/>
        <v>PASSED</v>
      </c>
      <c r="AZ28" s="151">
        <f t="shared" si="17"/>
        <v>55.664999999999999</v>
      </c>
      <c r="BA28" s="151">
        <f t="shared" si="18"/>
        <v>38.1</v>
      </c>
      <c r="BB28" s="151">
        <f t="shared" si="19"/>
        <v>93.765000000000001</v>
      </c>
      <c r="BC28" s="24" t="str">
        <f t="shared" si="20"/>
        <v>PASSED</v>
      </c>
    </row>
    <row r="29" spans="1:55" ht="16.8" thickTop="1" thickBot="1" x14ac:dyDescent="0.35">
      <c r="A29" s="19">
        <f>Attendance!A27</f>
        <v>20</v>
      </c>
      <c r="B29" s="20" t="str">
        <f>Attendance!B27</f>
        <v>Donque, Princess Althea Cabalud</v>
      </c>
      <c r="C29" s="97">
        <f>Attendance!S27</f>
        <v>3</v>
      </c>
      <c r="D29" s="151">
        <f t="shared" si="21"/>
        <v>100</v>
      </c>
      <c r="E29" s="182">
        <f t="shared" si="0"/>
        <v>5</v>
      </c>
      <c r="F29" s="25">
        <v>40</v>
      </c>
      <c r="G29" s="29"/>
      <c r="H29" s="103"/>
      <c r="I29" s="24">
        <f t="shared" si="22"/>
        <v>40</v>
      </c>
      <c r="J29" s="151">
        <f t="shared" si="1"/>
        <v>90</v>
      </c>
      <c r="K29" s="182">
        <f t="shared" si="23"/>
        <v>13.5</v>
      </c>
      <c r="L29" s="28">
        <v>14</v>
      </c>
      <c r="M29" s="29">
        <v>9</v>
      </c>
      <c r="N29" s="29">
        <v>45</v>
      </c>
      <c r="O29" s="103"/>
      <c r="P29" s="24">
        <f t="shared" si="2"/>
        <v>68</v>
      </c>
      <c r="Q29" s="151">
        <f t="shared" si="3"/>
        <v>95.333333333333329</v>
      </c>
      <c r="R29" s="182">
        <f t="shared" si="4"/>
        <v>28.599999999999998</v>
      </c>
      <c r="S29" s="106">
        <v>78</v>
      </c>
      <c r="T29" s="151">
        <f t="shared" si="5"/>
        <v>98.75</v>
      </c>
      <c r="U29" s="182">
        <f t="shared" si="6"/>
        <v>49.375</v>
      </c>
      <c r="V29" s="180">
        <f t="shared" si="7"/>
        <v>96.474999999999994</v>
      </c>
      <c r="W29" s="24" t="str">
        <f t="shared" si="24"/>
        <v>PASSED</v>
      </c>
      <c r="Z29" s="37">
        <v>3</v>
      </c>
      <c r="AA29" s="19">
        <v>3</v>
      </c>
      <c r="AB29" s="19">
        <v>3</v>
      </c>
      <c r="AC29" s="19"/>
      <c r="AD29" s="19"/>
      <c r="AE29" s="108"/>
      <c r="AF29" s="113">
        <f t="shared" si="8"/>
        <v>9</v>
      </c>
      <c r="AG29" s="179">
        <f t="shared" si="9"/>
        <v>100</v>
      </c>
      <c r="AH29" s="184">
        <f t="shared" si="10"/>
        <v>10</v>
      </c>
      <c r="AI29" s="37">
        <v>86</v>
      </c>
      <c r="AJ29" s="19">
        <v>95</v>
      </c>
      <c r="AK29" s="19"/>
      <c r="AL29" s="19"/>
      <c r="AM29" s="19"/>
      <c r="AN29" s="108"/>
      <c r="AO29" s="113">
        <f t="shared" si="11"/>
        <v>181</v>
      </c>
      <c r="AP29" s="179">
        <f t="shared" si="12"/>
        <v>95.25</v>
      </c>
      <c r="AQ29" s="184">
        <f t="shared" si="13"/>
        <v>38.1</v>
      </c>
      <c r="AR29" s="38">
        <v>84</v>
      </c>
      <c r="AS29" s="108"/>
      <c r="AT29" s="113">
        <f t="shared" si="14"/>
        <v>84</v>
      </c>
      <c r="AU29" s="179">
        <f t="shared" si="15"/>
        <v>92</v>
      </c>
      <c r="AV29" s="183">
        <f t="shared" si="16"/>
        <v>46</v>
      </c>
      <c r="AW29" s="139">
        <f t="shared" si="25"/>
        <v>94.1</v>
      </c>
      <c r="AX29" s="113" t="str">
        <f t="shared" si="26"/>
        <v>PASSED</v>
      </c>
      <c r="AZ29" s="151">
        <f t="shared" si="17"/>
        <v>57.884999999999991</v>
      </c>
      <c r="BA29" s="151">
        <f t="shared" si="18"/>
        <v>37.64</v>
      </c>
      <c r="BB29" s="151">
        <f t="shared" si="19"/>
        <v>95.524999999999991</v>
      </c>
      <c r="BC29" s="24" t="str">
        <f t="shared" si="20"/>
        <v>PASSED</v>
      </c>
    </row>
    <row r="30" spans="1:55" ht="16.8" thickTop="1" thickBot="1" x14ac:dyDescent="0.35">
      <c r="A30" s="19">
        <f>Attendance!A28</f>
        <v>21</v>
      </c>
      <c r="B30" s="20" t="str">
        <f>Attendance!B28</f>
        <v>Duldulao, Clark Anthony Malasador</v>
      </c>
      <c r="C30" s="97">
        <f>Attendance!S28</f>
        <v>3</v>
      </c>
      <c r="D30" s="151">
        <f t="shared" si="21"/>
        <v>100</v>
      </c>
      <c r="E30" s="182">
        <f t="shared" si="0"/>
        <v>5</v>
      </c>
      <c r="F30" s="25">
        <v>40</v>
      </c>
      <c r="G30" s="29"/>
      <c r="H30" s="103"/>
      <c r="I30" s="24">
        <f t="shared" si="22"/>
        <v>40</v>
      </c>
      <c r="J30" s="151">
        <f t="shared" si="1"/>
        <v>90</v>
      </c>
      <c r="K30" s="182">
        <f t="shared" si="23"/>
        <v>13.5</v>
      </c>
      <c r="L30" s="28">
        <v>7</v>
      </c>
      <c r="M30" s="29">
        <v>7</v>
      </c>
      <c r="N30" s="29">
        <v>45</v>
      </c>
      <c r="O30" s="103"/>
      <c r="P30" s="24">
        <f t="shared" si="2"/>
        <v>59</v>
      </c>
      <c r="Q30" s="151">
        <f t="shared" si="3"/>
        <v>89.333333333333329</v>
      </c>
      <c r="R30" s="182">
        <f t="shared" si="4"/>
        <v>26.799999999999997</v>
      </c>
      <c r="S30" s="106">
        <v>52</v>
      </c>
      <c r="T30" s="151">
        <f t="shared" si="5"/>
        <v>82.5</v>
      </c>
      <c r="U30" s="182">
        <f t="shared" si="6"/>
        <v>41.25</v>
      </c>
      <c r="V30" s="180">
        <f t="shared" si="7"/>
        <v>86.55</v>
      </c>
      <c r="W30" s="24" t="str">
        <f t="shared" si="24"/>
        <v>PASSED</v>
      </c>
      <c r="Z30" s="37">
        <v>3</v>
      </c>
      <c r="AA30" s="19">
        <v>3</v>
      </c>
      <c r="AB30" s="19">
        <v>3</v>
      </c>
      <c r="AC30" s="19"/>
      <c r="AD30" s="19"/>
      <c r="AE30" s="108"/>
      <c r="AF30" s="113">
        <f t="shared" si="8"/>
        <v>9</v>
      </c>
      <c r="AG30" s="179">
        <f t="shared" si="9"/>
        <v>100</v>
      </c>
      <c r="AH30" s="184">
        <f t="shared" si="10"/>
        <v>10</v>
      </c>
      <c r="AI30" s="37">
        <v>75</v>
      </c>
      <c r="AJ30" s="19">
        <v>75</v>
      </c>
      <c r="AK30" s="19"/>
      <c r="AL30" s="19"/>
      <c r="AM30" s="19"/>
      <c r="AN30" s="108"/>
      <c r="AO30" s="113">
        <f t="shared" si="11"/>
        <v>150</v>
      </c>
      <c r="AP30" s="179">
        <f t="shared" si="12"/>
        <v>87.5</v>
      </c>
      <c r="AQ30" s="184">
        <f t="shared" si="13"/>
        <v>35</v>
      </c>
      <c r="AR30" s="38">
        <v>84</v>
      </c>
      <c r="AS30" s="108"/>
      <c r="AT30" s="113">
        <f t="shared" si="14"/>
        <v>84</v>
      </c>
      <c r="AU30" s="179">
        <f t="shared" si="15"/>
        <v>92</v>
      </c>
      <c r="AV30" s="183">
        <f t="shared" si="16"/>
        <v>46</v>
      </c>
      <c r="AW30" s="139">
        <f t="shared" si="25"/>
        <v>91</v>
      </c>
      <c r="AX30" s="113" t="str">
        <f t="shared" si="26"/>
        <v>PASSED</v>
      </c>
      <c r="AZ30" s="151">
        <f t="shared" si="17"/>
        <v>51.93</v>
      </c>
      <c r="BA30" s="151">
        <f t="shared" si="18"/>
        <v>36.4</v>
      </c>
      <c r="BB30" s="151">
        <f t="shared" si="19"/>
        <v>88.33</v>
      </c>
      <c r="BC30" s="24" t="str">
        <f t="shared" si="20"/>
        <v>PASSED</v>
      </c>
    </row>
    <row r="31" spans="1:55" ht="16.8" thickTop="1" thickBot="1" x14ac:dyDescent="0.35">
      <c r="A31" s="19">
        <f>Attendance!A29</f>
        <v>22</v>
      </c>
      <c r="B31" s="20" t="str">
        <f>Attendance!B29</f>
        <v>Estorpe, Marjun Gablines</v>
      </c>
      <c r="C31" s="97">
        <f>Attendance!S29</f>
        <v>3</v>
      </c>
      <c r="D31" s="151">
        <f t="shared" si="21"/>
        <v>100</v>
      </c>
      <c r="E31" s="182">
        <f t="shared" si="0"/>
        <v>5</v>
      </c>
      <c r="F31" s="25">
        <v>40</v>
      </c>
      <c r="G31" s="29"/>
      <c r="H31" s="103"/>
      <c r="I31" s="24">
        <f t="shared" si="22"/>
        <v>40</v>
      </c>
      <c r="J31" s="151">
        <f t="shared" si="1"/>
        <v>90</v>
      </c>
      <c r="K31" s="182">
        <f t="shared" si="23"/>
        <v>13.5</v>
      </c>
      <c r="L31" s="28">
        <v>6</v>
      </c>
      <c r="M31" s="29">
        <v>8</v>
      </c>
      <c r="N31" s="29">
        <v>39</v>
      </c>
      <c r="O31" s="103"/>
      <c r="P31" s="24">
        <f t="shared" si="2"/>
        <v>53</v>
      </c>
      <c r="Q31" s="151">
        <f t="shared" si="3"/>
        <v>85.333333333333343</v>
      </c>
      <c r="R31" s="182">
        <f t="shared" si="4"/>
        <v>25.6</v>
      </c>
      <c r="S31" s="106">
        <v>46</v>
      </c>
      <c r="T31" s="151">
        <f t="shared" si="5"/>
        <v>78.75</v>
      </c>
      <c r="U31" s="182">
        <f t="shared" si="6"/>
        <v>39.375</v>
      </c>
      <c r="V31" s="180">
        <f t="shared" si="7"/>
        <v>83.474999999999994</v>
      </c>
      <c r="W31" s="24" t="str">
        <f t="shared" si="24"/>
        <v>PASSED</v>
      </c>
      <c r="Z31" s="37">
        <v>3</v>
      </c>
      <c r="AA31" s="19">
        <v>3</v>
      </c>
      <c r="AB31" s="19">
        <v>3</v>
      </c>
      <c r="AC31" s="19"/>
      <c r="AD31" s="19"/>
      <c r="AE31" s="108"/>
      <c r="AF31" s="113">
        <f t="shared" si="8"/>
        <v>9</v>
      </c>
      <c r="AG31" s="179">
        <f t="shared" si="9"/>
        <v>100</v>
      </c>
      <c r="AH31" s="184">
        <f t="shared" si="10"/>
        <v>10</v>
      </c>
      <c r="AI31" s="37">
        <v>80</v>
      </c>
      <c r="AJ31" s="19">
        <v>75</v>
      </c>
      <c r="AK31" s="19"/>
      <c r="AL31" s="19"/>
      <c r="AM31" s="19"/>
      <c r="AN31" s="108"/>
      <c r="AO31" s="113">
        <f t="shared" si="11"/>
        <v>155</v>
      </c>
      <c r="AP31" s="179">
        <f t="shared" si="12"/>
        <v>88.75</v>
      </c>
      <c r="AQ31" s="184">
        <f t="shared" si="13"/>
        <v>35.5</v>
      </c>
      <c r="AR31" s="38">
        <v>89</v>
      </c>
      <c r="AS31" s="108"/>
      <c r="AT31" s="113">
        <f t="shared" si="14"/>
        <v>89</v>
      </c>
      <c r="AU31" s="179">
        <f t="shared" si="15"/>
        <v>94.5</v>
      </c>
      <c r="AV31" s="183">
        <f t="shared" si="16"/>
        <v>47.25</v>
      </c>
      <c r="AW31" s="139">
        <f t="shared" si="25"/>
        <v>92.75</v>
      </c>
      <c r="AX31" s="113" t="str">
        <f t="shared" si="26"/>
        <v>PASSED</v>
      </c>
      <c r="AZ31" s="151">
        <f t="shared" si="17"/>
        <v>50.084999999999994</v>
      </c>
      <c r="BA31" s="151">
        <f t="shared" si="18"/>
        <v>37.1</v>
      </c>
      <c r="BB31" s="151">
        <f t="shared" si="19"/>
        <v>87.185000000000002</v>
      </c>
      <c r="BC31" s="24" t="str">
        <f t="shared" si="20"/>
        <v>PASSED</v>
      </c>
    </row>
    <row r="32" spans="1:55" ht="16.8" thickTop="1" thickBot="1" x14ac:dyDescent="0.35">
      <c r="A32" s="19">
        <f>Attendance!A30</f>
        <v>23</v>
      </c>
      <c r="B32" s="20" t="str">
        <f>Attendance!B30</f>
        <v>Getalla, Jhon Mike Delig</v>
      </c>
      <c r="C32" s="97">
        <f>Attendance!S30</f>
        <v>3</v>
      </c>
      <c r="D32" s="151">
        <f t="shared" si="21"/>
        <v>100</v>
      </c>
      <c r="E32" s="182">
        <f t="shared" si="0"/>
        <v>5</v>
      </c>
      <c r="F32" s="25">
        <v>40</v>
      </c>
      <c r="G32" s="29"/>
      <c r="H32" s="103"/>
      <c r="I32" s="24">
        <f t="shared" si="22"/>
        <v>40</v>
      </c>
      <c r="J32" s="151">
        <f t="shared" si="1"/>
        <v>90</v>
      </c>
      <c r="K32" s="182">
        <f t="shared" si="23"/>
        <v>13.5</v>
      </c>
      <c r="L32" s="28">
        <v>9</v>
      </c>
      <c r="M32" s="29">
        <v>3</v>
      </c>
      <c r="N32" s="29">
        <v>45</v>
      </c>
      <c r="O32" s="103"/>
      <c r="P32" s="24">
        <f t="shared" si="2"/>
        <v>57</v>
      </c>
      <c r="Q32" s="151">
        <f t="shared" si="3"/>
        <v>88</v>
      </c>
      <c r="R32" s="182">
        <f t="shared" si="4"/>
        <v>26.4</v>
      </c>
      <c r="S32" s="106">
        <v>63</v>
      </c>
      <c r="T32" s="151">
        <f t="shared" si="5"/>
        <v>89.375</v>
      </c>
      <c r="U32" s="182">
        <f t="shared" si="6"/>
        <v>44.6875</v>
      </c>
      <c r="V32" s="180">
        <f t="shared" si="7"/>
        <v>89.587500000000006</v>
      </c>
      <c r="W32" s="24" t="str">
        <f t="shared" si="24"/>
        <v>PASSED</v>
      </c>
      <c r="Z32" s="37">
        <v>3</v>
      </c>
      <c r="AA32" s="19">
        <v>3</v>
      </c>
      <c r="AB32" s="19">
        <v>3</v>
      </c>
      <c r="AC32" s="19"/>
      <c r="AD32" s="19"/>
      <c r="AE32" s="108"/>
      <c r="AF32" s="113">
        <f t="shared" si="8"/>
        <v>9</v>
      </c>
      <c r="AG32" s="179">
        <f t="shared" si="9"/>
        <v>100</v>
      </c>
      <c r="AH32" s="184">
        <f t="shared" si="10"/>
        <v>10</v>
      </c>
      <c r="AI32" s="37">
        <v>86</v>
      </c>
      <c r="AJ32" s="19">
        <v>75</v>
      </c>
      <c r="AK32" s="19"/>
      <c r="AL32" s="19"/>
      <c r="AM32" s="19"/>
      <c r="AN32" s="108"/>
      <c r="AO32" s="113">
        <f t="shared" si="11"/>
        <v>161</v>
      </c>
      <c r="AP32" s="179">
        <f t="shared" si="12"/>
        <v>90.25</v>
      </c>
      <c r="AQ32" s="184">
        <f t="shared" si="13"/>
        <v>36.1</v>
      </c>
      <c r="AR32" s="38">
        <v>89</v>
      </c>
      <c r="AS32" s="108"/>
      <c r="AT32" s="113">
        <f t="shared" si="14"/>
        <v>89</v>
      </c>
      <c r="AU32" s="179">
        <f t="shared" si="15"/>
        <v>94.5</v>
      </c>
      <c r="AV32" s="183">
        <f t="shared" si="16"/>
        <v>47.25</v>
      </c>
      <c r="AW32" s="139">
        <f t="shared" si="25"/>
        <v>93.35</v>
      </c>
      <c r="AX32" s="113" t="str">
        <f t="shared" si="26"/>
        <v>PASSED</v>
      </c>
      <c r="AZ32" s="151">
        <f t="shared" si="17"/>
        <v>53.752500000000005</v>
      </c>
      <c r="BA32" s="151">
        <f t="shared" si="18"/>
        <v>37.339999999999996</v>
      </c>
      <c r="BB32" s="151">
        <f t="shared" si="19"/>
        <v>91.092500000000001</v>
      </c>
      <c r="BC32" s="24" t="str">
        <f t="shared" si="20"/>
        <v>PASSED</v>
      </c>
    </row>
    <row r="33" spans="1:55" ht="16.8" thickTop="1" thickBot="1" x14ac:dyDescent="0.35">
      <c r="A33" s="19">
        <f>Attendance!A31</f>
        <v>24</v>
      </c>
      <c r="B33" s="20" t="str">
        <f>Attendance!B31</f>
        <v>Grado, Geron Gregory Lupase</v>
      </c>
      <c r="C33" s="97">
        <f>Attendance!S31</f>
        <v>3</v>
      </c>
      <c r="D33" s="151">
        <f t="shared" si="21"/>
        <v>100</v>
      </c>
      <c r="E33" s="182">
        <f t="shared" si="0"/>
        <v>5</v>
      </c>
      <c r="F33" s="25">
        <v>40</v>
      </c>
      <c r="G33" s="29"/>
      <c r="H33" s="103"/>
      <c r="I33" s="24">
        <f t="shared" si="22"/>
        <v>40</v>
      </c>
      <c r="J33" s="151">
        <f t="shared" si="1"/>
        <v>90</v>
      </c>
      <c r="K33" s="182">
        <f t="shared" si="23"/>
        <v>13.5</v>
      </c>
      <c r="L33" s="28">
        <v>13</v>
      </c>
      <c r="M33" s="29">
        <v>9</v>
      </c>
      <c r="N33" s="29">
        <v>45</v>
      </c>
      <c r="O33" s="103"/>
      <c r="P33" s="24">
        <f t="shared" si="2"/>
        <v>67</v>
      </c>
      <c r="Q33" s="151">
        <f t="shared" si="3"/>
        <v>94.666666666666657</v>
      </c>
      <c r="R33" s="182">
        <f t="shared" si="4"/>
        <v>28.399999999999995</v>
      </c>
      <c r="S33" s="106">
        <v>77</v>
      </c>
      <c r="T33" s="151">
        <f t="shared" si="5"/>
        <v>98.125</v>
      </c>
      <c r="U33" s="182">
        <f t="shared" si="6"/>
        <v>49.0625</v>
      </c>
      <c r="V33" s="180">
        <f t="shared" si="7"/>
        <v>95.962499999999991</v>
      </c>
      <c r="W33" s="24" t="str">
        <f t="shared" si="24"/>
        <v>PASSED</v>
      </c>
      <c r="Z33" s="37">
        <v>3</v>
      </c>
      <c r="AA33" s="19">
        <v>3</v>
      </c>
      <c r="AB33" s="19">
        <v>3</v>
      </c>
      <c r="AC33" s="19"/>
      <c r="AD33" s="19"/>
      <c r="AE33" s="108"/>
      <c r="AF33" s="113">
        <f t="shared" si="8"/>
        <v>9</v>
      </c>
      <c r="AG33" s="179">
        <f t="shared" si="9"/>
        <v>100</v>
      </c>
      <c r="AH33" s="184">
        <f t="shared" si="10"/>
        <v>10</v>
      </c>
      <c r="AI33" s="37">
        <v>80</v>
      </c>
      <c r="AJ33" s="19">
        <v>88</v>
      </c>
      <c r="AK33" s="19"/>
      <c r="AL33" s="19"/>
      <c r="AM33" s="19"/>
      <c r="AN33" s="108"/>
      <c r="AO33" s="113">
        <f t="shared" si="11"/>
        <v>168</v>
      </c>
      <c r="AP33" s="179">
        <f t="shared" si="12"/>
        <v>92</v>
      </c>
      <c r="AQ33" s="184">
        <f t="shared" si="13"/>
        <v>36.800000000000004</v>
      </c>
      <c r="AR33" s="38">
        <v>94</v>
      </c>
      <c r="AS33" s="108"/>
      <c r="AT33" s="113">
        <f t="shared" si="14"/>
        <v>94</v>
      </c>
      <c r="AU33" s="179">
        <f t="shared" si="15"/>
        <v>97</v>
      </c>
      <c r="AV33" s="183">
        <f t="shared" si="16"/>
        <v>48.5</v>
      </c>
      <c r="AW33" s="139">
        <f t="shared" si="25"/>
        <v>95.300000000000011</v>
      </c>
      <c r="AX33" s="113" t="str">
        <f t="shared" si="26"/>
        <v>PASSED</v>
      </c>
      <c r="AZ33" s="151">
        <f t="shared" si="17"/>
        <v>57.577499999999993</v>
      </c>
      <c r="BA33" s="151">
        <f t="shared" si="18"/>
        <v>38.120000000000005</v>
      </c>
      <c r="BB33" s="151">
        <f t="shared" si="19"/>
        <v>95.697499999999991</v>
      </c>
      <c r="BC33" s="24" t="str">
        <f t="shared" si="20"/>
        <v>PASSED</v>
      </c>
    </row>
    <row r="34" spans="1:55" ht="16.8" thickTop="1" thickBot="1" x14ac:dyDescent="0.35">
      <c r="A34" s="19">
        <f>Attendance!A32</f>
        <v>25</v>
      </c>
      <c r="B34" s="20" t="str">
        <f>Attendance!B32</f>
        <v>Jarina, Jirk Llanita</v>
      </c>
      <c r="C34" s="97">
        <f>Attendance!S32</f>
        <v>3</v>
      </c>
      <c r="D34" s="151">
        <f t="shared" si="21"/>
        <v>100</v>
      </c>
      <c r="E34" s="182">
        <f t="shared" si="0"/>
        <v>5</v>
      </c>
      <c r="F34" s="25">
        <v>40</v>
      </c>
      <c r="G34" s="29"/>
      <c r="H34" s="103"/>
      <c r="I34" s="24">
        <f t="shared" si="22"/>
        <v>40</v>
      </c>
      <c r="J34" s="151">
        <f t="shared" si="1"/>
        <v>90</v>
      </c>
      <c r="K34" s="182">
        <f t="shared" si="23"/>
        <v>13.5</v>
      </c>
      <c r="L34" s="28">
        <v>14</v>
      </c>
      <c r="M34" s="29">
        <v>9</v>
      </c>
      <c r="N34" s="29">
        <v>48</v>
      </c>
      <c r="O34" s="103"/>
      <c r="P34" s="24">
        <f t="shared" si="2"/>
        <v>71</v>
      </c>
      <c r="Q34" s="151">
        <f t="shared" si="3"/>
        <v>97.333333333333343</v>
      </c>
      <c r="R34" s="182">
        <f t="shared" si="4"/>
        <v>29.200000000000003</v>
      </c>
      <c r="S34" s="106">
        <v>76</v>
      </c>
      <c r="T34" s="151">
        <f t="shared" si="5"/>
        <v>97.5</v>
      </c>
      <c r="U34" s="182">
        <f t="shared" si="6"/>
        <v>48.75</v>
      </c>
      <c r="V34" s="180">
        <f t="shared" si="7"/>
        <v>96.45</v>
      </c>
      <c r="W34" s="24" t="str">
        <f t="shared" si="24"/>
        <v>PASSED</v>
      </c>
      <c r="Z34" s="37">
        <v>3</v>
      </c>
      <c r="AA34" s="19">
        <v>3</v>
      </c>
      <c r="AB34" s="19">
        <v>3</v>
      </c>
      <c r="AC34" s="19"/>
      <c r="AD34" s="19"/>
      <c r="AE34" s="108"/>
      <c r="AF34" s="113">
        <f t="shared" si="8"/>
        <v>9</v>
      </c>
      <c r="AG34" s="179">
        <f t="shared" si="9"/>
        <v>100</v>
      </c>
      <c r="AH34" s="184">
        <f t="shared" si="10"/>
        <v>10</v>
      </c>
      <c r="AI34" s="37">
        <v>88</v>
      </c>
      <c r="AJ34" s="19">
        <v>95</v>
      </c>
      <c r="AK34" s="19"/>
      <c r="AL34" s="19"/>
      <c r="AM34" s="19"/>
      <c r="AN34" s="108"/>
      <c r="AO34" s="113">
        <f t="shared" si="11"/>
        <v>183</v>
      </c>
      <c r="AP34" s="179">
        <f t="shared" si="12"/>
        <v>95.75</v>
      </c>
      <c r="AQ34" s="184">
        <f t="shared" si="13"/>
        <v>38.300000000000004</v>
      </c>
      <c r="AR34" s="38">
        <v>91</v>
      </c>
      <c r="AS34" s="108"/>
      <c r="AT34" s="113">
        <f t="shared" si="14"/>
        <v>91</v>
      </c>
      <c r="AU34" s="179">
        <f t="shared" si="15"/>
        <v>95.5</v>
      </c>
      <c r="AV34" s="183">
        <f t="shared" si="16"/>
        <v>47.75</v>
      </c>
      <c r="AW34" s="139">
        <f t="shared" si="25"/>
        <v>96.050000000000011</v>
      </c>
      <c r="AX34" s="113" t="str">
        <f t="shared" si="26"/>
        <v>PASSED</v>
      </c>
      <c r="AZ34" s="151">
        <f t="shared" si="17"/>
        <v>57.87</v>
      </c>
      <c r="BA34" s="151">
        <f t="shared" si="18"/>
        <v>38.420000000000009</v>
      </c>
      <c r="BB34" s="151">
        <f t="shared" si="19"/>
        <v>96.29</v>
      </c>
      <c r="BC34" s="24" t="str">
        <f t="shared" si="20"/>
        <v>PASSED</v>
      </c>
    </row>
    <row r="35" spans="1:55" ht="16.8" thickTop="1" thickBot="1" x14ac:dyDescent="0.35">
      <c r="A35" s="19">
        <f>Attendance!A33</f>
        <v>26</v>
      </c>
      <c r="B35" s="20" t="str">
        <f>Attendance!B33</f>
        <v>Kalaw, Stephen Val Pajes</v>
      </c>
      <c r="C35" s="97">
        <f>Attendance!S33</f>
        <v>1</v>
      </c>
      <c r="D35" s="151">
        <f t="shared" si="21"/>
        <v>66.666666666666657</v>
      </c>
      <c r="E35" s="182">
        <f t="shared" si="0"/>
        <v>3.333333333333333</v>
      </c>
      <c r="F35" s="25">
        <v>40</v>
      </c>
      <c r="G35" s="29"/>
      <c r="H35" s="103"/>
      <c r="I35" s="24">
        <f t="shared" si="22"/>
        <v>40</v>
      </c>
      <c r="J35" s="151">
        <f t="shared" si="1"/>
        <v>90</v>
      </c>
      <c r="K35" s="182">
        <f t="shared" si="23"/>
        <v>13.5</v>
      </c>
      <c r="L35" s="28">
        <v>9</v>
      </c>
      <c r="M35" s="29">
        <v>0</v>
      </c>
      <c r="N35" s="29">
        <v>41</v>
      </c>
      <c r="O35" s="103"/>
      <c r="P35" s="24">
        <f t="shared" si="2"/>
        <v>50</v>
      </c>
      <c r="Q35" s="151">
        <f t="shared" si="3"/>
        <v>83.333333333333329</v>
      </c>
      <c r="R35" s="182">
        <f t="shared" si="4"/>
        <v>24.999999999999996</v>
      </c>
      <c r="S35" s="106">
        <v>50</v>
      </c>
      <c r="T35" s="151">
        <f t="shared" si="5"/>
        <v>81.25</v>
      </c>
      <c r="U35" s="182">
        <f t="shared" si="6"/>
        <v>40.625</v>
      </c>
      <c r="V35" s="180">
        <f t="shared" si="7"/>
        <v>82.458333333333329</v>
      </c>
      <c r="W35" s="24" t="str">
        <f t="shared" si="24"/>
        <v>PASSED</v>
      </c>
      <c r="Z35" s="37">
        <v>0</v>
      </c>
      <c r="AA35" s="19">
        <v>3</v>
      </c>
      <c r="AB35" s="19">
        <v>0</v>
      </c>
      <c r="AC35" s="19"/>
      <c r="AD35" s="19"/>
      <c r="AE35" s="108"/>
      <c r="AF35" s="113">
        <f t="shared" si="8"/>
        <v>3</v>
      </c>
      <c r="AG35" s="179">
        <f t="shared" si="9"/>
        <v>66.666666666666657</v>
      </c>
      <c r="AH35" s="184">
        <f t="shared" si="10"/>
        <v>6.6666666666666661</v>
      </c>
      <c r="AI35" s="37">
        <v>0</v>
      </c>
      <c r="AJ35" s="19">
        <v>0</v>
      </c>
      <c r="AK35" s="19"/>
      <c r="AL35" s="19"/>
      <c r="AM35" s="19"/>
      <c r="AN35" s="108"/>
      <c r="AO35" s="113">
        <f t="shared" si="11"/>
        <v>0</v>
      </c>
      <c r="AP35" s="179">
        <f t="shared" si="12"/>
        <v>50</v>
      </c>
      <c r="AQ35" s="184">
        <f t="shared" si="13"/>
        <v>20</v>
      </c>
      <c r="AR35" s="38">
        <v>90</v>
      </c>
      <c r="AS35" s="108"/>
      <c r="AT35" s="113">
        <f t="shared" si="14"/>
        <v>90</v>
      </c>
      <c r="AU35" s="179">
        <f t="shared" si="15"/>
        <v>95</v>
      </c>
      <c r="AV35" s="183">
        <f t="shared" si="16"/>
        <v>47.5</v>
      </c>
      <c r="AW35" s="139">
        <f t="shared" si="25"/>
        <v>74.166666666666671</v>
      </c>
      <c r="AX35" s="113" t="str">
        <f t="shared" si="26"/>
        <v>FAILED</v>
      </c>
      <c r="AZ35" s="151">
        <f t="shared" si="17"/>
        <v>49.474999999999994</v>
      </c>
      <c r="BA35" s="151">
        <f t="shared" si="18"/>
        <v>29.666666666666671</v>
      </c>
      <c r="BB35" s="151">
        <f t="shared" si="19"/>
        <v>79.141666666666666</v>
      </c>
      <c r="BC35" s="24" t="str">
        <f t="shared" si="20"/>
        <v>PASSED</v>
      </c>
    </row>
    <row r="36" spans="1:55" ht="16.8" thickTop="1" thickBot="1" x14ac:dyDescent="0.35">
      <c r="A36" s="19">
        <f>Attendance!A34</f>
        <v>27</v>
      </c>
      <c r="B36" s="20" t="str">
        <f>Attendance!B34</f>
        <v>Lapez, Kobei Ryant Valenzuela</v>
      </c>
      <c r="C36" s="97">
        <f>Attendance!S34</f>
        <v>1</v>
      </c>
      <c r="D36" s="151">
        <f t="shared" si="21"/>
        <v>66.666666666666657</v>
      </c>
      <c r="E36" s="182">
        <f t="shared" si="0"/>
        <v>3.333333333333333</v>
      </c>
      <c r="F36" s="25">
        <v>40</v>
      </c>
      <c r="G36" s="29"/>
      <c r="H36" s="103"/>
      <c r="I36" s="24">
        <f t="shared" si="22"/>
        <v>40</v>
      </c>
      <c r="J36" s="151">
        <f t="shared" si="1"/>
        <v>90</v>
      </c>
      <c r="K36" s="182">
        <f t="shared" si="23"/>
        <v>13.5</v>
      </c>
      <c r="L36" s="28">
        <v>8</v>
      </c>
      <c r="M36" s="29">
        <v>0</v>
      </c>
      <c r="N36" s="29">
        <v>45</v>
      </c>
      <c r="O36" s="103"/>
      <c r="P36" s="24">
        <f t="shared" si="2"/>
        <v>53</v>
      </c>
      <c r="Q36" s="151">
        <f t="shared" si="3"/>
        <v>85.333333333333343</v>
      </c>
      <c r="R36" s="182">
        <f t="shared" si="4"/>
        <v>25.6</v>
      </c>
      <c r="S36" s="106">
        <v>43</v>
      </c>
      <c r="T36" s="151">
        <f t="shared" si="5"/>
        <v>76.875</v>
      </c>
      <c r="U36" s="182">
        <f t="shared" si="6"/>
        <v>38.4375</v>
      </c>
      <c r="V36" s="180">
        <f t="shared" si="7"/>
        <v>80.870833333333323</v>
      </c>
      <c r="W36" s="24" t="str">
        <f t="shared" si="24"/>
        <v>PASSED</v>
      </c>
      <c r="Z36" s="37">
        <v>0</v>
      </c>
      <c r="AA36" s="19">
        <v>3</v>
      </c>
      <c r="AB36" s="19">
        <v>0</v>
      </c>
      <c r="AC36" s="19"/>
      <c r="AD36" s="19"/>
      <c r="AE36" s="108"/>
      <c r="AF36" s="113">
        <f t="shared" si="8"/>
        <v>3</v>
      </c>
      <c r="AG36" s="179">
        <f t="shared" si="9"/>
        <v>66.666666666666657</v>
      </c>
      <c r="AH36" s="184">
        <f t="shared" si="10"/>
        <v>6.6666666666666661</v>
      </c>
      <c r="AI36" s="37">
        <v>0</v>
      </c>
      <c r="AJ36" s="19">
        <v>0</v>
      </c>
      <c r="AK36" s="19"/>
      <c r="AL36" s="19"/>
      <c r="AM36" s="19"/>
      <c r="AN36" s="108"/>
      <c r="AO36" s="113">
        <f t="shared" si="11"/>
        <v>0</v>
      </c>
      <c r="AP36" s="179">
        <f t="shared" si="12"/>
        <v>50</v>
      </c>
      <c r="AQ36" s="184">
        <f t="shared" si="13"/>
        <v>20</v>
      </c>
      <c r="AR36" s="38">
        <v>89</v>
      </c>
      <c r="AS36" s="108"/>
      <c r="AT36" s="113">
        <f t="shared" si="14"/>
        <v>89</v>
      </c>
      <c r="AU36" s="179">
        <f t="shared" si="15"/>
        <v>94.5</v>
      </c>
      <c r="AV36" s="183">
        <f t="shared" si="16"/>
        <v>47.25</v>
      </c>
      <c r="AW36" s="139">
        <f t="shared" si="25"/>
        <v>73.916666666666671</v>
      </c>
      <c r="AX36" s="113" t="str">
        <f t="shared" si="26"/>
        <v>FAILED</v>
      </c>
      <c r="AZ36" s="151">
        <f t="shared" si="17"/>
        <v>48.522499999999994</v>
      </c>
      <c r="BA36" s="151">
        <f t="shared" si="18"/>
        <v>29.56666666666667</v>
      </c>
      <c r="BB36" s="151">
        <f t="shared" si="19"/>
        <v>78.089166666666671</v>
      </c>
      <c r="BC36" s="24" t="str">
        <f t="shared" si="20"/>
        <v>PASSED</v>
      </c>
    </row>
    <row r="37" spans="1:55" ht="16.8" thickTop="1" thickBot="1" x14ac:dyDescent="0.35">
      <c r="A37" s="19">
        <f>Attendance!A35</f>
        <v>28</v>
      </c>
      <c r="B37" s="20" t="str">
        <f>Attendance!B35</f>
        <v>Logro, Gerald Capipilan</v>
      </c>
      <c r="C37" s="97">
        <f>Attendance!S35</f>
        <v>2</v>
      </c>
      <c r="D37" s="151">
        <f t="shared" si="21"/>
        <v>83.333333333333329</v>
      </c>
      <c r="E37" s="182">
        <f t="shared" si="0"/>
        <v>4.166666666666667</v>
      </c>
      <c r="F37" s="25">
        <v>40</v>
      </c>
      <c r="G37" s="29"/>
      <c r="H37" s="103"/>
      <c r="I37" s="24">
        <f t="shared" si="22"/>
        <v>40</v>
      </c>
      <c r="J37" s="151">
        <f t="shared" si="1"/>
        <v>90</v>
      </c>
      <c r="K37" s="182">
        <f t="shared" si="23"/>
        <v>13.5</v>
      </c>
      <c r="L37" s="28">
        <v>7</v>
      </c>
      <c r="M37" s="29">
        <v>5</v>
      </c>
      <c r="N37" s="29">
        <v>43</v>
      </c>
      <c r="O37" s="103"/>
      <c r="P37" s="24">
        <f t="shared" si="2"/>
        <v>55</v>
      </c>
      <c r="Q37" s="151">
        <f t="shared" si="3"/>
        <v>86.666666666666657</v>
      </c>
      <c r="R37" s="182">
        <f t="shared" si="4"/>
        <v>25.999999999999996</v>
      </c>
      <c r="S37" s="106">
        <v>75</v>
      </c>
      <c r="T37" s="151">
        <f t="shared" si="5"/>
        <v>96.875</v>
      </c>
      <c r="U37" s="182">
        <f t="shared" si="6"/>
        <v>48.4375</v>
      </c>
      <c r="V37" s="180">
        <f t="shared" si="7"/>
        <v>92.104166666666671</v>
      </c>
      <c r="W37" s="24" t="str">
        <f t="shared" si="24"/>
        <v>PASSED</v>
      </c>
      <c r="Z37" s="37">
        <v>3</v>
      </c>
      <c r="AA37" s="19">
        <v>3</v>
      </c>
      <c r="AB37" s="19">
        <v>3</v>
      </c>
      <c r="AC37" s="19"/>
      <c r="AD37" s="19"/>
      <c r="AE37" s="108"/>
      <c r="AF37" s="113">
        <f t="shared" si="8"/>
        <v>9</v>
      </c>
      <c r="AG37" s="179">
        <f t="shared" si="9"/>
        <v>100</v>
      </c>
      <c r="AH37" s="184">
        <f t="shared" si="10"/>
        <v>10</v>
      </c>
      <c r="AI37" s="37">
        <v>80</v>
      </c>
      <c r="AJ37" s="19">
        <v>90</v>
      </c>
      <c r="AK37" s="19"/>
      <c r="AL37" s="19"/>
      <c r="AM37" s="19"/>
      <c r="AN37" s="108"/>
      <c r="AO37" s="113">
        <f t="shared" si="11"/>
        <v>170</v>
      </c>
      <c r="AP37" s="179">
        <f t="shared" si="12"/>
        <v>92.5</v>
      </c>
      <c r="AQ37" s="184">
        <f t="shared" si="13"/>
        <v>37</v>
      </c>
      <c r="AR37" s="38">
        <v>91</v>
      </c>
      <c r="AS37" s="108"/>
      <c r="AT37" s="113">
        <f t="shared" si="14"/>
        <v>91</v>
      </c>
      <c r="AU37" s="179">
        <f t="shared" si="15"/>
        <v>95.5</v>
      </c>
      <c r="AV37" s="183">
        <f t="shared" si="16"/>
        <v>47.75</v>
      </c>
      <c r="AW37" s="139">
        <f t="shared" si="25"/>
        <v>94.75</v>
      </c>
      <c r="AX37" s="113" t="str">
        <f t="shared" si="26"/>
        <v>PASSED</v>
      </c>
      <c r="AZ37" s="151">
        <f t="shared" si="17"/>
        <v>55.262500000000003</v>
      </c>
      <c r="BA37" s="151">
        <f t="shared" si="18"/>
        <v>37.9</v>
      </c>
      <c r="BB37" s="151">
        <f t="shared" si="19"/>
        <v>93.162499999999994</v>
      </c>
      <c r="BC37" s="24" t="str">
        <f t="shared" si="20"/>
        <v>PASSED</v>
      </c>
    </row>
    <row r="38" spans="1:55" ht="16.8" thickTop="1" thickBot="1" x14ac:dyDescent="0.35">
      <c r="A38" s="19">
        <f>Attendance!A36</f>
        <v>29</v>
      </c>
      <c r="B38" s="20" t="str">
        <f>Attendance!B36</f>
        <v>Macas, Joriemel Dumam-ag</v>
      </c>
      <c r="C38" s="97">
        <f>Attendance!S36</f>
        <v>1</v>
      </c>
      <c r="D38" s="151">
        <f t="shared" si="21"/>
        <v>66.666666666666657</v>
      </c>
      <c r="E38" s="182">
        <f t="shared" si="0"/>
        <v>3.333333333333333</v>
      </c>
      <c r="F38" s="25">
        <v>40</v>
      </c>
      <c r="G38" s="29"/>
      <c r="H38" s="103"/>
      <c r="I38" s="24">
        <f t="shared" si="22"/>
        <v>40</v>
      </c>
      <c r="J38" s="151">
        <f t="shared" si="1"/>
        <v>90</v>
      </c>
      <c r="K38" s="182">
        <f t="shared" si="23"/>
        <v>13.5</v>
      </c>
      <c r="L38" s="28">
        <v>7</v>
      </c>
      <c r="M38" s="29">
        <v>9</v>
      </c>
      <c r="N38" s="29">
        <v>45</v>
      </c>
      <c r="O38" s="103"/>
      <c r="P38" s="24">
        <f t="shared" si="2"/>
        <v>61</v>
      </c>
      <c r="Q38" s="151">
        <f t="shared" si="3"/>
        <v>90.666666666666657</v>
      </c>
      <c r="R38" s="182">
        <f t="shared" si="4"/>
        <v>27.199999999999996</v>
      </c>
      <c r="S38" s="106">
        <v>78</v>
      </c>
      <c r="T38" s="151">
        <f t="shared" si="5"/>
        <v>98.75</v>
      </c>
      <c r="U38" s="182">
        <f t="shared" si="6"/>
        <v>49.375</v>
      </c>
      <c r="V38" s="180">
        <f t="shared" si="7"/>
        <v>93.408333333333317</v>
      </c>
      <c r="W38" s="24" t="str">
        <f t="shared" si="24"/>
        <v>PASSED</v>
      </c>
      <c r="Z38" s="37">
        <v>3</v>
      </c>
      <c r="AA38" s="19">
        <v>3</v>
      </c>
      <c r="AB38" s="19">
        <v>3</v>
      </c>
      <c r="AC38" s="19"/>
      <c r="AD38" s="19"/>
      <c r="AE38" s="108"/>
      <c r="AF38" s="113">
        <f t="shared" si="8"/>
        <v>9</v>
      </c>
      <c r="AG38" s="179">
        <f t="shared" si="9"/>
        <v>100</v>
      </c>
      <c r="AH38" s="184">
        <f t="shared" si="10"/>
        <v>10</v>
      </c>
      <c r="AI38" s="37">
        <v>80</v>
      </c>
      <c r="AJ38" s="19">
        <v>88</v>
      </c>
      <c r="AK38" s="19"/>
      <c r="AL38" s="19"/>
      <c r="AM38" s="19"/>
      <c r="AN38" s="108"/>
      <c r="AO38" s="113">
        <f t="shared" si="11"/>
        <v>168</v>
      </c>
      <c r="AP38" s="179">
        <f t="shared" si="12"/>
        <v>92</v>
      </c>
      <c r="AQ38" s="184">
        <f t="shared" si="13"/>
        <v>36.800000000000004</v>
      </c>
      <c r="AR38" s="38">
        <v>88</v>
      </c>
      <c r="AS38" s="108"/>
      <c r="AT38" s="113">
        <f t="shared" si="14"/>
        <v>88</v>
      </c>
      <c r="AU38" s="179">
        <f t="shared" si="15"/>
        <v>94</v>
      </c>
      <c r="AV38" s="183">
        <f t="shared" si="16"/>
        <v>47</v>
      </c>
      <c r="AW38" s="139">
        <f t="shared" si="25"/>
        <v>93.800000000000011</v>
      </c>
      <c r="AX38" s="113" t="str">
        <f t="shared" si="26"/>
        <v>PASSED</v>
      </c>
      <c r="AZ38" s="151">
        <f t="shared" si="17"/>
        <v>56.044999999999987</v>
      </c>
      <c r="BA38" s="151">
        <f t="shared" si="18"/>
        <v>37.520000000000003</v>
      </c>
      <c r="BB38" s="151">
        <f t="shared" si="19"/>
        <v>93.564999999999998</v>
      </c>
      <c r="BC38" s="24" t="str">
        <f t="shared" si="20"/>
        <v>PASSED</v>
      </c>
    </row>
    <row r="39" spans="1:55" ht="16.8" thickTop="1" thickBot="1" x14ac:dyDescent="0.35">
      <c r="A39" s="19">
        <f>Attendance!A37</f>
        <v>30</v>
      </c>
      <c r="B39" s="20" t="str">
        <f>Attendance!B37</f>
        <v>Manticayan, Janine Gurdo</v>
      </c>
      <c r="C39" s="97">
        <f>Attendance!S37</f>
        <v>3</v>
      </c>
      <c r="D39" s="151">
        <f t="shared" si="21"/>
        <v>100</v>
      </c>
      <c r="E39" s="182">
        <f t="shared" si="0"/>
        <v>5</v>
      </c>
      <c r="F39" s="25">
        <v>40</v>
      </c>
      <c r="G39" s="29"/>
      <c r="H39" s="103"/>
      <c r="I39" s="24">
        <f t="shared" si="22"/>
        <v>40</v>
      </c>
      <c r="J39" s="151">
        <f t="shared" si="1"/>
        <v>90</v>
      </c>
      <c r="K39" s="182">
        <f t="shared" si="23"/>
        <v>13.5</v>
      </c>
      <c r="L39" s="28">
        <v>13</v>
      </c>
      <c r="M39" s="29">
        <v>9</v>
      </c>
      <c r="N39" s="29">
        <v>44</v>
      </c>
      <c r="O39" s="103"/>
      <c r="P39" s="24">
        <f t="shared" si="2"/>
        <v>66</v>
      </c>
      <c r="Q39" s="151">
        <f t="shared" si="3"/>
        <v>94</v>
      </c>
      <c r="R39" s="182">
        <f t="shared" si="4"/>
        <v>28.2</v>
      </c>
      <c r="S39" s="106">
        <v>79</v>
      </c>
      <c r="T39" s="151">
        <f t="shared" si="5"/>
        <v>99.375</v>
      </c>
      <c r="U39" s="182">
        <f t="shared" si="6"/>
        <v>49.6875</v>
      </c>
      <c r="V39" s="180">
        <f t="shared" si="7"/>
        <v>96.387500000000003</v>
      </c>
      <c r="W39" s="24" t="str">
        <f t="shared" si="24"/>
        <v>PASSED</v>
      </c>
      <c r="Z39" s="37">
        <v>3</v>
      </c>
      <c r="AA39" s="19">
        <v>3</v>
      </c>
      <c r="AB39" s="19">
        <v>3</v>
      </c>
      <c r="AC39" s="19"/>
      <c r="AD39" s="19"/>
      <c r="AE39" s="108"/>
      <c r="AF39" s="113">
        <f t="shared" si="8"/>
        <v>9</v>
      </c>
      <c r="AG39" s="179">
        <f t="shared" si="9"/>
        <v>100</v>
      </c>
      <c r="AH39" s="184">
        <f t="shared" si="10"/>
        <v>10</v>
      </c>
      <c r="AI39" s="37">
        <v>80</v>
      </c>
      <c r="AJ39" s="19">
        <v>90</v>
      </c>
      <c r="AK39" s="19"/>
      <c r="AL39" s="19"/>
      <c r="AM39" s="19"/>
      <c r="AN39" s="108"/>
      <c r="AO39" s="113">
        <f t="shared" si="11"/>
        <v>170</v>
      </c>
      <c r="AP39" s="179">
        <f t="shared" si="12"/>
        <v>92.5</v>
      </c>
      <c r="AQ39" s="184">
        <f t="shared" si="13"/>
        <v>37</v>
      </c>
      <c r="AR39" s="38">
        <v>90</v>
      </c>
      <c r="AS39" s="108"/>
      <c r="AT39" s="113">
        <f t="shared" si="14"/>
        <v>90</v>
      </c>
      <c r="AU39" s="179">
        <f t="shared" si="15"/>
        <v>95</v>
      </c>
      <c r="AV39" s="183">
        <f t="shared" si="16"/>
        <v>47.5</v>
      </c>
      <c r="AW39" s="139">
        <f t="shared" si="25"/>
        <v>94.5</v>
      </c>
      <c r="AX39" s="113" t="str">
        <f t="shared" si="26"/>
        <v>PASSED</v>
      </c>
      <c r="AZ39" s="151">
        <f t="shared" si="17"/>
        <v>57.832499999999996</v>
      </c>
      <c r="BA39" s="151">
        <f t="shared" si="18"/>
        <v>37.800000000000004</v>
      </c>
      <c r="BB39" s="151">
        <f t="shared" si="19"/>
        <v>95.632499999999993</v>
      </c>
      <c r="BC39" s="24" t="str">
        <f t="shared" si="20"/>
        <v>PASSED</v>
      </c>
    </row>
    <row r="40" spans="1:55" ht="16.8" thickTop="1" thickBot="1" x14ac:dyDescent="0.35">
      <c r="A40" s="19">
        <f>Attendance!A38</f>
        <v>31</v>
      </c>
      <c r="B40" s="20" t="str">
        <f>Attendance!B38</f>
        <v>Mojal, Mariel Key Sarra</v>
      </c>
      <c r="C40" s="97">
        <f>Attendance!S38</f>
        <v>3</v>
      </c>
      <c r="D40" s="151">
        <f t="shared" si="21"/>
        <v>100</v>
      </c>
      <c r="E40" s="182">
        <f t="shared" si="0"/>
        <v>5</v>
      </c>
      <c r="F40" s="25">
        <v>40</v>
      </c>
      <c r="G40" s="29"/>
      <c r="H40" s="103"/>
      <c r="I40" s="24">
        <f t="shared" si="22"/>
        <v>40</v>
      </c>
      <c r="J40" s="151">
        <f t="shared" si="1"/>
        <v>90</v>
      </c>
      <c r="K40" s="182">
        <f t="shared" si="23"/>
        <v>13.5</v>
      </c>
      <c r="L40" s="28">
        <v>11</v>
      </c>
      <c r="M40" s="29">
        <v>10</v>
      </c>
      <c r="N40" s="29">
        <v>40</v>
      </c>
      <c r="O40" s="103"/>
      <c r="P40" s="24">
        <f t="shared" si="2"/>
        <v>61</v>
      </c>
      <c r="Q40" s="151">
        <f t="shared" si="3"/>
        <v>90.666666666666657</v>
      </c>
      <c r="R40" s="182">
        <f t="shared" si="4"/>
        <v>27.199999999999996</v>
      </c>
      <c r="S40" s="106">
        <v>72</v>
      </c>
      <c r="T40" s="151">
        <f t="shared" si="5"/>
        <v>95</v>
      </c>
      <c r="U40" s="182">
        <f t="shared" si="6"/>
        <v>47.5</v>
      </c>
      <c r="V40" s="180">
        <f t="shared" si="7"/>
        <v>93.199999999999989</v>
      </c>
      <c r="W40" s="24" t="str">
        <f t="shared" si="24"/>
        <v>PASSED</v>
      </c>
      <c r="Z40" s="37">
        <v>3</v>
      </c>
      <c r="AA40" s="19">
        <v>3</v>
      </c>
      <c r="AB40" s="19">
        <v>3</v>
      </c>
      <c r="AC40" s="19"/>
      <c r="AD40" s="19"/>
      <c r="AE40" s="108"/>
      <c r="AF40" s="113">
        <f t="shared" si="8"/>
        <v>9</v>
      </c>
      <c r="AG40" s="179">
        <f t="shared" si="9"/>
        <v>100</v>
      </c>
      <c r="AH40" s="184">
        <f t="shared" si="10"/>
        <v>10</v>
      </c>
      <c r="AI40" s="37">
        <v>85</v>
      </c>
      <c r="AJ40" s="19">
        <v>88</v>
      </c>
      <c r="AK40" s="19"/>
      <c r="AL40" s="19"/>
      <c r="AM40" s="19"/>
      <c r="AN40" s="108"/>
      <c r="AO40" s="113">
        <f t="shared" si="11"/>
        <v>173</v>
      </c>
      <c r="AP40" s="179">
        <f t="shared" si="12"/>
        <v>93.25</v>
      </c>
      <c r="AQ40" s="184">
        <f t="shared" si="13"/>
        <v>37.300000000000004</v>
      </c>
      <c r="AR40" s="38">
        <v>88</v>
      </c>
      <c r="AS40" s="108"/>
      <c r="AT40" s="113">
        <f t="shared" si="14"/>
        <v>88</v>
      </c>
      <c r="AU40" s="179">
        <f t="shared" si="15"/>
        <v>94</v>
      </c>
      <c r="AV40" s="183">
        <f t="shared" si="16"/>
        <v>47</v>
      </c>
      <c r="AW40" s="139">
        <f t="shared" si="25"/>
        <v>94.300000000000011</v>
      </c>
      <c r="AX40" s="113" t="str">
        <f t="shared" si="26"/>
        <v>PASSED</v>
      </c>
      <c r="AZ40" s="151">
        <f t="shared" si="17"/>
        <v>55.919999999999995</v>
      </c>
      <c r="BA40" s="151">
        <f t="shared" si="18"/>
        <v>37.720000000000006</v>
      </c>
      <c r="BB40" s="151">
        <f t="shared" si="19"/>
        <v>93.64</v>
      </c>
      <c r="BC40" s="24" t="str">
        <f t="shared" si="20"/>
        <v>PASSED</v>
      </c>
    </row>
    <row r="41" spans="1:55" ht="16.8" thickTop="1" thickBot="1" x14ac:dyDescent="0.35">
      <c r="A41" s="19">
        <f>Attendance!A39</f>
        <v>32</v>
      </c>
      <c r="B41" s="20" t="str">
        <f>Attendance!B39</f>
        <v>Nabua, Riel Andrew Banguiz</v>
      </c>
      <c r="C41" s="97">
        <f>Attendance!S39</f>
        <v>2</v>
      </c>
      <c r="D41" s="151">
        <f t="shared" si="21"/>
        <v>83.333333333333329</v>
      </c>
      <c r="E41" s="182">
        <f t="shared" si="0"/>
        <v>4.166666666666667</v>
      </c>
      <c r="F41" s="25">
        <v>40</v>
      </c>
      <c r="G41" s="29"/>
      <c r="H41" s="103"/>
      <c r="I41" s="24">
        <f t="shared" si="22"/>
        <v>40</v>
      </c>
      <c r="J41" s="151">
        <f t="shared" si="1"/>
        <v>90</v>
      </c>
      <c r="K41" s="182">
        <f t="shared" si="23"/>
        <v>13.5</v>
      </c>
      <c r="L41" s="28">
        <v>10</v>
      </c>
      <c r="M41" s="29">
        <v>0</v>
      </c>
      <c r="N41" s="29">
        <v>45</v>
      </c>
      <c r="O41" s="103"/>
      <c r="P41" s="24">
        <f t="shared" si="2"/>
        <v>55</v>
      </c>
      <c r="Q41" s="151">
        <f t="shared" si="3"/>
        <v>86.666666666666657</v>
      </c>
      <c r="R41" s="182">
        <f t="shared" si="4"/>
        <v>25.999999999999996</v>
      </c>
      <c r="S41" s="106">
        <v>39</v>
      </c>
      <c r="T41" s="151">
        <f t="shared" si="5"/>
        <v>74.375</v>
      </c>
      <c r="U41" s="182">
        <f t="shared" si="6"/>
        <v>37.1875</v>
      </c>
      <c r="V41" s="180">
        <f t="shared" si="7"/>
        <v>80.854166666666671</v>
      </c>
      <c r="W41" s="24" t="str">
        <f t="shared" si="24"/>
        <v>PASSED</v>
      </c>
      <c r="Z41" s="37">
        <v>3</v>
      </c>
      <c r="AA41" s="19">
        <v>3</v>
      </c>
      <c r="AB41" s="19">
        <v>0</v>
      </c>
      <c r="AC41" s="19"/>
      <c r="AD41" s="19"/>
      <c r="AE41" s="108"/>
      <c r="AF41" s="113">
        <f t="shared" si="8"/>
        <v>6</v>
      </c>
      <c r="AG41" s="179">
        <f t="shared" si="9"/>
        <v>83.333333333333329</v>
      </c>
      <c r="AH41" s="184">
        <f t="shared" si="10"/>
        <v>8.3333333333333339</v>
      </c>
      <c r="AI41" s="37">
        <v>86</v>
      </c>
      <c r="AJ41" s="19">
        <v>0</v>
      </c>
      <c r="AK41" s="19"/>
      <c r="AL41" s="19"/>
      <c r="AM41" s="19"/>
      <c r="AN41" s="108"/>
      <c r="AO41" s="113">
        <f t="shared" si="11"/>
        <v>86</v>
      </c>
      <c r="AP41" s="179">
        <f t="shared" si="12"/>
        <v>71.5</v>
      </c>
      <c r="AQ41" s="184">
        <f t="shared" si="13"/>
        <v>28.6</v>
      </c>
      <c r="AR41" s="38">
        <v>89</v>
      </c>
      <c r="AS41" s="108"/>
      <c r="AT41" s="113">
        <f t="shared" si="14"/>
        <v>89</v>
      </c>
      <c r="AU41" s="179">
        <f t="shared" si="15"/>
        <v>94.5</v>
      </c>
      <c r="AV41" s="183">
        <f t="shared" si="16"/>
        <v>47.25</v>
      </c>
      <c r="AW41" s="139">
        <f t="shared" si="25"/>
        <v>84.183333333333323</v>
      </c>
      <c r="AX41" s="113" t="str">
        <f t="shared" si="26"/>
        <v>PASSED</v>
      </c>
      <c r="AZ41" s="151">
        <f t="shared" si="17"/>
        <v>48.512500000000003</v>
      </c>
      <c r="BA41" s="151">
        <f t="shared" si="18"/>
        <v>33.673333333333332</v>
      </c>
      <c r="BB41" s="151">
        <f t="shared" si="19"/>
        <v>82.185833333333335</v>
      </c>
      <c r="BC41" s="24" t="str">
        <f t="shared" si="20"/>
        <v>PASSED</v>
      </c>
    </row>
    <row r="42" spans="1:55" ht="16.8" thickTop="1" thickBot="1" x14ac:dyDescent="0.35">
      <c r="A42" s="19">
        <f>Attendance!A40</f>
        <v>33</v>
      </c>
      <c r="B42" s="20" t="str">
        <f>Attendance!B40</f>
        <v>Nicolas, Beyonce Sophia Tuan</v>
      </c>
      <c r="C42" s="97">
        <f>Attendance!S40</f>
        <v>1</v>
      </c>
      <c r="D42" s="151">
        <f t="shared" si="21"/>
        <v>66.666666666666657</v>
      </c>
      <c r="E42" s="182">
        <f t="shared" si="0"/>
        <v>3.333333333333333</v>
      </c>
      <c r="F42" s="25">
        <v>40</v>
      </c>
      <c r="G42" s="29"/>
      <c r="H42" s="103"/>
      <c r="I42" s="24">
        <f t="shared" si="22"/>
        <v>40</v>
      </c>
      <c r="J42" s="151">
        <f t="shared" si="1"/>
        <v>90</v>
      </c>
      <c r="K42" s="182">
        <f t="shared" si="23"/>
        <v>13.5</v>
      </c>
      <c r="L42" s="28">
        <v>6</v>
      </c>
      <c r="M42" s="29">
        <v>0</v>
      </c>
      <c r="N42" s="29">
        <v>46</v>
      </c>
      <c r="O42" s="103"/>
      <c r="P42" s="24">
        <f t="shared" si="2"/>
        <v>52</v>
      </c>
      <c r="Q42" s="151">
        <f t="shared" si="3"/>
        <v>84.666666666666671</v>
      </c>
      <c r="R42" s="182">
        <f t="shared" si="4"/>
        <v>25.400000000000002</v>
      </c>
      <c r="S42" s="106">
        <v>65</v>
      </c>
      <c r="T42" s="151">
        <f t="shared" si="5"/>
        <v>90.625</v>
      </c>
      <c r="U42" s="182">
        <f t="shared" si="6"/>
        <v>45.3125</v>
      </c>
      <c r="V42" s="180">
        <f t="shared" si="7"/>
        <v>87.545833333333334</v>
      </c>
      <c r="W42" s="24" t="str">
        <f t="shared" si="24"/>
        <v>PASSED</v>
      </c>
      <c r="Z42" s="37">
        <v>0</v>
      </c>
      <c r="AA42" s="19">
        <v>3</v>
      </c>
      <c r="AB42" s="19">
        <v>0</v>
      </c>
      <c r="AC42" s="19"/>
      <c r="AD42" s="19"/>
      <c r="AE42" s="108"/>
      <c r="AF42" s="113">
        <f t="shared" si="8"/>
        <v>3</v>
      </c>
      <c r="AG42" s="179">
        <f t="shared" si="9"/>
        <v>66.666666666666657</v>
      </c>
      <c r="AH42" s="184">
        <f t="shared" si="10"/>
        <v>6.6666666666666661</v>
      </c>
      <c r="AI42" s="37">
        <v>0</v>
      </c>
      <c r="AJ42" s="19">
        <v>0</v>
      </c>
      <c r="AK42" s="19"/>
      <c r="AL42" s="19"/>
      <c r="AM42" s="19"/>
      <c r="AN42" s="108"/>
      <c r="AO42" s="113">
        <f t="shared" si="11"/>
        <v>0</v>
      </c>
      <c r="AP42" s="179">
        <f t="shared" si="12"/>
        <v>50</v>
      </c>
      <c r="AQ42" s="184">
        <f t="shared" si="13"/>
        <v>20</v>
      </c>
      <c r="AR42" s="38">
        <v>89</v>
      </c>
      <c r="AS42" s="108"/>
      <c r="AT42" s="113">
        <f t="shared" si="14"/>
        <v>89</v>
      </c>
      <c r="AU42" s="179">
        <f t="shared" si="15"/>
        <v>94.5</v>
      </c>
      <c r="AV42" s="183">
        <f t="shared" si="16"/>
        <v>47.25</v>
      </c>
      <c r="AW42" s="139">
        <f t="shared" si="25"/>
        <v>73.916666666666671</v>
      </c>
      <c r="AX42" s="113" t="str">
        <f t="shared" si="26"/>
        <v>FAILED</v>
      </c>
      <c r="AZ42" s="151">
        <f t="shared" si="17"/>
        <v>52.527499999999996</v>
      </c>
      <c r="BA42" s="151">
        <f t="shared" si="18"/>
        <v>29.56666666666667</v>
      </c>
      <c r="BB42" s="151">
        <f t="shared" si="19"/>
        <v>82.094166666666666</v>
      </c>
      <c r="BC42" s="24" t="str">
        <f t="shared" si="20"/>
        <v>PASSED</v>
      </c>
    </row>
    <row r="43" spans="1:55" ht="16.8" thickTop="1" thickBot="1" x14ac:dyDescent="0.35">
      <c r="A43" s="19">
        <f>Attendance!A41</f>
        <v>34</v>
      </c>
      <c r="B43" s="20" t="str">
        <f>Attendance!B41</f>
        <v>Padagas, Karl Robyn Padrones</v>
      </c>
      <c r="C43" s="97">
        <f>Attendance!S41</f>
        <v>0</v>
      </c>
      <c r="D43" s="151">
        <f t="shared" si="21"/>
        <v>50</v>
      </c>
      <c r="E43" s="182">
        <f t="shared" si="0"/>
        <v>2.5</v>
      </c>
      <c r="F43" s="25">
        <v>0</v>
      </c>
      <c r="G43" s="29"/>
      <c r="H43" s="103"/>
      <c r="I43" s="24">
        <f t="shared" si="22"/>
        <v>0</v>
      </c>
      <c r="J43" s="151">
        <f t="shared" si="1"/>
        <v>50</v>
      </c>
      <c r="K43" s="182">
        <f t="shared" si="23"/>
        <v>7.5</v>
      </c>
      <c r="L43" s="28">
        <v>0</v>
      </c>
      <c r="M43" s="29">
        <v>0</v>
      </c>
      <c r="N43" s="29">
        <v>0</v>
      </c>
      <c r="O43" s="103"/>
      <c r="P43" s="24">
        <f t="shared" si="2"/>
        <v>0</v>
      </c>
      <c r="Q43" s="151">
        <f t="shared" si="3"/>
        <v>50</v>
      </c>
      <c r="R43" s="182">
        <f t="shared" si="4"/>
        <v>15</v>
      </c>
      <c r="S43" s="106">
        <v>39</v>
      </c>
      <c r="T43" s="151">
        <f t="shared" si="5"/>
        <v>74.375</v>
      </c>
      <c r="U43" s="182">
        <f t="shared" si="6"/>
        <v>37.1875</v>
      </c>
      <c r="V43" s="180">
        <f t="shared" si="7"/>
        <v>62.1875</v>
      </c>
      <c r="W43" s="24" t="str">
        <f t="shared" si="24"/>
        <v>FAILED</v>
      </c>
      <c r="Z43" s="37">
        <v>0</v>
      </c>
      <c r="AA43" s="19">
        <v>0</v>
      </c>
      <c r="AB43" s="19">
        <v>0</v>
      </c>
      <c r="AC43" s="19"/>
      <c r="AD43" s="19"/>
      <c r="AE43" s="108"/>
      <c r="AF43" s="113">
        <f t="shared" si="8"/>
        <v>0</v>
      </c>
      <c r="AG43" s="179">
        <f t="shared" si="9"/>
        <v>50</v>
      </c>
      <c r="AH43" s="184">
        <f t="shared" si="10"/>
        <v>5</v>
      </c>
      <c r="AI43" s="37">
        <v>0</v>
      </c>
      <c r="AJ43" s="19">
        <v>0</v>
      </c>
      <c r="AK43" s="19"/>
      <c r="AL43" s="19"/>
      <c r="AM43" s="19"/>
      <c r="AN43" s="108"/>
      <c r="AO43" s="113">
        <f t="shared" si="11"/>
        <v>0</v>
      </c>
      <c r="AP43" s="179">
        <f t="shared" si="12"/>
        <v>50</v>
      </c>
      <c r="AQ43" s="184">
        <f t="shared" si="13"/>
        <v>20</v>
      </c>
      <c r="AR43" s="38">
        <v>0</v>
      </c>
      <c r="AS43" s="108"/>
      <c r="AT43" s="113">
        <f t="shared" si="14"/>
        <v>0</v>
      </c>
      <c r="AU43" s="179">
        <f t="shared" si="15"/>
        <v>50</v>
      </c>
      <c r="AV43" s="183">
        <f t="shared" si="16"/>
        <v>25</v>
      </c>
      <c r="AW43" s="139">
        <f t="shared" si="25"/>
        <v>50</v>
      </c>
      <c r="AX43" s="113" t="str">
        <f t="shared" si="26"/>
        <v>FAILED</v>
      </c>
      <c r="AZ43" s="151">
        <f t="shared" si="17"/>
        <v>37.3125</v>
      </c>
      <c r="BA43" s="151">
        <f t="shared" si="18"/>
        <v>20</v>
      </c>
      <c r="BB43" s="151">
        <f t="shared" si="19"/>
        <v>57.3125</v>
      </c>
      <c r="BC43" s="24" t="str">
        <f t="shared" si="20"/>
        <v>FAILED</v>
      </c>
    </row>
    <row r="44" spans="1:55" ht="16.8" thickTop="1" thickBot="1" x14ac:dyDescent="0.35">
      <c r="A44" s="19">
        <f>Attendance!A42</f>
        <v>35</v>
      </c>
      <c r="B44" s="20" t="str">
        <f>Attendance!B42</f>
        <v>Recarse, Princess Aubrey Grace Requita</v>
      </c>
      <c r="C44" s="97">
        <f>Attendance!S42</f>
        <v>2</v>
      </c>
      <c r="D44" s="151">
        <f t="shared" si="21"/>
        <v>83.333333333333329</v>
      </c>
      <c r="E44" s="182">
        <f t="shared" si="0"/>
        <v>4.166666666666667</v>
      </c>
      <c r="F44" s="25">
        <v>40</v>
      </c>
      <c r="G44" s="29"/>
      <c r="H44" s="103"/>
      <c r="I44" s="24">
        <f t="shared" si="22"/>
        <v>40</v>
      </c>
      <c r="J44" s="151">
        <f t="shared" si="1"/>
        <v>90</v>
      </c>
      <c r="K44" s="182">
        <f t="shared" si="23"/>
        <v>13.5</v>
      </c>
      <c r="L44" s="28">
        <v>0</v>
      </c>
      <c r="M44" s="29">
        <v>9</v>
      </c>
      <c r="N44" s="29">
        <v>45</v>
      </c>
      <c r="O44" s="103"/>
      <c r="P44" s="24">
        <f t="shared" si="2"/>
        <v>54</v>
      </c>
      <c r="Q44" s="151">
        <f t="shared" si="3"/>
        <v>86</v>
      </c>
      <c r="R44" s="182">
        <f t="shared" si="4"/>
        <v>25.8</v>
      </c>
      <c r="S44" s="106">
        <v>60</v>
      </c>
      <c r="T44" s="151">
        <f t="shared" si="5"/>
        <v>87.5</v>
      </c>
      <c r="U44" s="182">
        <f t="shared" si="6"/>
        <v>43.75</v>
      </c>
      <c r="V44" s="180">
        <f t="shared" si="7"/>
        <v>87.216666666666669</v>
      </c>
      <c r="W44" s="24" t="str">
        <f t="shared" si="24"/>
        <v>PASSED</v>
      </c>
      <c r="Z44" s="37">
        <v>3</v>
      </c>
      <c r="AA44" s="19">
        <v>0</v>
      </c>
      <c r="AB44" s="19">
        <v>3</v>
      </c>
      <c r="AC44" s="19"/>
      <c r="AD44" s="19"/>
      <c r="AE44" s="108"/>
      <c r="AF44" s="113">
        <f t="shared" si="8"/>
        <v>6</v>
      </c>
      <c r="AG44" s="179">
        <f t="shared" si="9"/>
        <v>83.333333333333329</v>
      </c>
      <c r="AH44" s="184">
        <f t="shared" si="10"/>
        <v>8.3333333333333339</v>
      </c>
      <c r="AI44" s="37">
        <v>88</v>
      </c>
      <c r="AJ44" s="19">
        <v>75</v>
      </c>
      <c r="AK44" s="19"/>
      <c r="AL44" s="19"/>
      <c r="AM44" s="19"/>
      <c r="AN44" s="108"/>
      <c r="AO44" s="113">
        <f t="shared" si="11"/>
        <v>163</v>
      </c>
      <c r="AP44" s="179">
        <f t="shared" si="12"/>
        <v>90.75</v>
      </c>
      <c r="AQ44" s="184">
        <f t="shared" si="13"/>
        <v>36.300000000000004</v>
      </c>
      <c r="AR44" s="38">
        <v>0</v>
      </c>
      <c r="AS44" s="108"/>
      <c r="AT44" s="113">
        <f t="shared" si="14"/>
        <v>0</v>
      </c>
      <c r="AU44" s="179">
        <f t="shared" si="15"/>
        <v>50</v>
      </c>
      <c r="AV44" s="183">
        <f t="shared" si="16"/>
        <v>25</v>
      </c>
      <c r="AW44" s="139">
        <f t="shared" si="25"/>
        <v>69.63333333333334</v>
      </c>
      <c r="AX44" s="113" t="str">
        <f t="shared" si="26"/>
        <v>FAILED</v>
      </c>
      <c r="AZ44" s="151">
        <f t="shared" si="17"/>
        <v>52.33</v>
      </c>
      <c r="BA44" s="151">
        <f t="shared" si="18"/>
        <v>27.853333333333339</v>
      </c>
      <c r="BB44" s="151">
        <f t="shared" si="19"/>
        <v>80.183333333333337</v>
      </c>
      <c r="BC44" s="24" t="str">
        <f t="shared" si="20"/>
        <v>PASSED</v>
      </c>
    </row>
    <row r="45" spans="1:55" ht="16.8" thickTop="1" thickBot="1" x14ac:dyDescent="0.35">
      <c r="A45" s="19">
        <f>Attendance!A43</f>
        <v>36</v>
      </c>
      <c r="B45" s="20" t="str">
        <f>Attendance!B43</f>
        <v>Sali, Kim Amher Esteban</v>
      </c>
      <c r="C45" s="97">
        <f>Attendance!S43</f>
        <v>3</v>
      </c>
      <c r="D45" s="151">
        <f t="shared" si="21"/>
        <v>100</v>
      </c>
      <c r="E45" s="182">
        <f t="shared" si="0"/>
        <v>5</v>
      </c>
      <c r="F45" s="25">
        <v>40</v>
      </c>
      <c r="G45" s="29"/>
      <c r="H45" s="103"/>
      <c r="I45" s="24">
        <f t="shared" si="22"/>
        <v>40</v>
      </c>
      <c r="J45" s="151">
        <f t="shared" si="1"/>
        <v>90</v>
      </c>
      <c r="K45" s="182">
        <f t="shared" si="23"/>
        <v>13.5</v>
      </c>
      <c r="L45" s="28">
        <v>7</v>
      </c>
      <c r="M45" s="29">
        <v>8</v>
      </c>
      <c r="N45" s="29">
        <v>43</v>
      </c>
      <c r="O45" s="103"/>
      <c r="P45" s="24">
        <f t="shared" si="2"/>
        <v>58</v>
      </c>
      <c r="Q45" s="151">
        <f t="shared" si="3"/>
        <v>88.666666666666657</v>
      </c>
      <c r="R45" s="182">
        <f t="shared" si="4"/>
        <v>26.599999999999998</v>
      </c>
      <c r="S45" s="106">
        <v>69</v>
      </c>
      <c r="T45" s="151">
        <f t="shared" si="5"/>
        <v>93.125</v>
      </c>
      <c r="U45" s="182">
        <f t="shared" si="6"/>
        <v>46.5625</v>
      </c>
      <c r="V45" s="180">
        <f t="shared" si="7"/>
        <v>91.662499999999994</v>
      </c>
      <c r="W45" s="24" t="str">
        <f t="shared" si="24"/>
        <v>PASSED</v>
      </c>
      <c r="Z45" s="37">
        <v>3</v>
      </c>
      <c r="AA45" s="19">
        <v>3</v>
      </c>
      <c r="AB45" s="19">
        <v>3</v>
      </c>
      <c r="AC45" s="19"/>
      <c r="AD45" s="19"/>
      <c r="AE45" s="108"/>
      <c r="AF45" s="113">
        <f t="shared" si="8"/>
        <v>9</v>
      </c>
      <c r="AG45" s="179">
        <f t="shared" si="9"/>
        <v>100</v>
      </c>
      <c r="AH45" s="184">
        <f t="shared" si="10"/>
        <v>10</v>
      </c>
      <c r="AI45" s="37">
        <v>85</v>
      </c>
      <c r="AJ45" s="19">
        <v>90</v>
      </c>
      <c r="AK45" s="19"/>
      <c r="AL45" s="19"/>
      <c r="AM45" s="19"/>
      <c r="AN45" s="108"/>
      <c r="AO45" s="113">
        <f t="shared" si="11"/>
        <v>175</v>
      </c>
      <c r="AP45" s="179">
        <f t="shared" si="12"/>
        <v>93.75</v>
      </c>
      <c r="AQ45" s="184">
        <f t="shared" si="13"/>
        <v>37.5</v>
      </c>
      <c r="AR45" s="38">
        <v>83</v>
      </c>
      <c r="AS45" s="108"/>
      <c r="AT45" s="113">
        <f t="shared" si="14"/>
        <v>83</v>
      </c>
      <c r="AU45" s="179">
        <f t="shared" si="15"/>
        <v>91.5</v>
      </c>
      <c r="AV45" s="183">
        <f t="shared" si="16"/>
        <v>45.75</v>
      </c>
      <c r="AW45" s="139">
        <f t="shared" si="25"/>
        <v>93.25</v>
      </c>
      <c r="AX45" s="113" t="str">
        <f t="shared" si="26"/>
        <v>PASSED</v>
      </c>
      <c r="AZ45" s="151">
        <f t="shared" si="17"/>
        <v>54.997499999999995</v>
      </c>
      <c r="BA45" s="151">
        <f t="shared" si="18"/>
        <v>37.300000000000004</v>
      </c>
      <c r="BB45" s="151">
        <f t="shared" si="19"/>
        <v>92.297499999999999</v>
      </c>
      <c r="BC45" s="24" t="str">
        <f t="shared" si="20"/>
        <v>PASSED</v>
      </c>
    </row>
    <row r="46" spans="1:55" ht="16.8" thickTop="1" thickBot="1" x14ac:dyDescent="0.35">
      <c r="A46" s="19">
        <f>Attendance!A44</f>
        <v>37</v>
      </c>
      <c r="B46" s="20" t="str">
        <f>Attendance!B44</f>
        <v>Saludares, Etherlyne Faith Esparas</v>
      </c>
      <c r="C46" s="97">
        <f>Attendance!S44</f>
        <v>2</v>
      </c>
      <c r="D46" s="151">
        <f t="shared" si="21"/>
        <v>83.333333333333329</v>
      </c>
      <c r="E46" s="182">
        <f t="shared" si="0"/>
        <v>4.166666666666667</v>
      </c>
      <c r="F46" s="25">
        <v>40</v>
      </c>
      <c r="G46" s="29"/>
      <c r="H46" s="103"/>
      <c r="I46" s="24">
        <f t="shared" si="22"/>
        <v>40</v>
      </c>
      <c r="J46" s="151">
        <f t="shared" si="1"/>
        <v>90</v>
      </c>
      <c r="K46" s="182">
        <f t="shared" si="23"/>
        <v>13.5</v>
      </c>
      <c r="L46" s="28">
        <v>5</v>
      </c>
      <c r="M46" s="29">
        <v>7</v>
      </c>
      <c r="N46" s="29">
        <v>48</v>
      </c>
      <c r="O46" s="103"/>
      <c r="P46" s="24">
        <f t="shared" si="2"/>
        <v>60</v>
      </c>
      <c r="Q46" s="151">
        <f t="shared" si="3"/>
        <v>90</v>
      </c>
      <c r="R46" s="182">
        <f t="shared" si="4"/>
        <v>27</v>
      </c>
      <c r="S46" s="106">
        <v>72</v>
      </c>
      <c r="T46" s="151">
        <f t="shared" si="5"/>
        <v>95</v>
      </c>
      <c r="U46" s="182">
        <f t="shared" si="6"/>
        <v>47.5</v>
      </c>
      <c r="V46" s="180">
        <f t="shared" si="7"/>
        <v>92.166666666666671</v>
      </c>
      <c r="W46" s="24" t="str">
        <f t="shared" si="24"/>
        <v>PASSED</v>
      </c>
      <c r="Z46" s="37">
        <v>0</v>
      </c>
      <c r="AA46" s="19">
        <v>3</v>
      </c>
      <c r="AB46" s="19">
        <v>3</v>
      </c>
      <c r="AC46" s="19"/>
      <c r="AD46" s="19"/>
      <c r="AE46" s="108"/>
      <c r="AF46" s="113">
        <f t="shared" si="8"/>
        <v>6</v>
      </c>
      <c r="AG46" s="179">
        <f t="shared" si="9"/>
        <v>83.333333333333329</v>
      </c>
      <c r="AH46" s="184">
        <f t="shared" si="10"/>
        <v>8.3333333333333339</v>
      </c>
      <c r="AI46" s="37">
        <v>90</v>
      </c>
      <c r="AJ46" s="19">
        <v>92</v>
      </c>
      <c r="AK46" s="19"/>
      <c r="AL46" s="19"/>
      <c r="AM46" s="19"/>
      <c r="AN46" s="108"/>
      <c r="AO46" s="113">
        <f t="shared" si="11"/>
        <v>182</v>
      </c>
      <c r="AP46" s="179">
        <f t="shared" si="12"/>
        <v>95.5</v>
      </c>
      <c r="AQ46" s="184">
        <f t="shared" si="13"/>
        <v>38.200000000000003</v>
      </c>
      <c r="AR46" s="38">
        <v>94</v>
      </c>
      <c r="AS46" s="108"/>
      <c r="AT46" s="113">
        <f t="shared" si="14"/>
        <v>94</v>
      </c>
      <c r="AU46" s="179">
        <f t="shared" si="15"/>
        <v>97</v>
      </c>
      <c r="AV46" s="183">
        <f t="shared" si="16"/>
        <v>48.5</v>
      </c>
      <c r="AW46" s="139">
        <f t="shared" si="25"/>
        <v>95.033333333333331</v>
      </c>
      <c r="AX46" s="113" t="str">
        <f t="shared" si="26"/>
        <v>PASSED</v>
      </c>
      <c r="AZ46" s="151">
        <f t="shared" si="17"/>
        <v>55.300000000000004</v>
      </c>
      <c r="BA46" s="151">
        <f t="shared" si="18"/>
        <v>38.013333333333335</v>
      </c>
      <c r="BB46" s="151">
        <f t="shared" si="19"/>
        <v>93.313333333333333</v>
      </c>
      <c r="BC46" s="24" t="str">
        <f t="shared" si="20"/>
        <v>PASSED</v>
      </c>
    </row>
    <row r="47" spans="1:55" ht="16.8" thickTop="1" thickBot="1" x14ac:dyDescent="0.35">
      <c r="A47" s="19">
        <f>Attendance!A45</f>
        <v>38</v>
      </c>
      <c r="B47" s="20" t="str">
        <f>Attendance!B45</f>
        <v>Sanchez, Neil Jimson Casas</v>
      </c>
      <c r="C47" s="97">
        <f>Attendance!S45</f>
        <v>1</v>
      </c>
      <c r="D47" s="151">
        <f t="shared" si="21"/>
        <v>66.666666666666657</v>
      </c>
      <c r="E47" s="182">
        <f t="shared" si="0"/>
        <v>3.333333333333333</v>
      </c>
      <c r="F47" s="25">
        <v>40</v>
      </c>
      <c r="G47" s="29"/>
      <c r="H47" s="103"/>
      <c r="I47" s="24">
        <f t="shared" si="22"/>
        <v>40</v>
      </c>
      <c r="J47" s="151">
        <f t="shared" si="1"/>
        <v>90</v>
      </c>
      <c r="K47" s="182">
        <f t="shared" si="23"/>
        <v>13.5</v>
      </c>
      <c r="L47" s="28">
        <v>0</v>
      </c>
      <c r="M47" s="29">
        <v>8</v>
      </c>
      <c r="N47" s="29">
        <v>39</v>
      </c>
      <c r="O47" s="103"/>
      <c r="P47" s="24">
        <f t="shared" si="2"/>
        <v>47</v>
      </c>
      <c r="Q47" s="151">
        <f t="shared" si="3"/>
        <v>81.333333333333343</v>
      </c>
      <c r="R47" s="182">
        <f t="shared" si="4"/>
        <v>24.400000000000002</v>
      </c>
      <c r="S47" s="106">
        <v>43</v>
      </c>
      <c r="T47" s="151">
        <f t="shared" si="5"/>
        <v>76.875</v>
      </c>
      <c r="U47" s="182">
        <f t="shared" si="6"/>
        <v>38.4375</v>
      </c>
      <c r="V47" s="180">
        <f t="shared" si="7"/>
        <v>79.670833333333334</v>
      </c>
      <c r="W47" s="24" t="str">
        <f t="shared" si="24"/>
        <v>PASSED</v>
      </c>
      <c r="Z47" s="37">
        <v>0</v>
      </c>
      <c r="AA47" s="19">
        <v>0</v>
      </c>
      <c r="AB47" s="19">
        <v>3</v>
      </c>
      <c r="AC47" s="19"/>
      <c r="AD47" s="19"/>
      <c r="AE47" s="108"/>
      <c r="AF47" s="113">
        <f t="shared" si="8"/>
        <v>3</v>
      </c>
      <c r="AG47" s="179">
        <f t="shared" si="9"/>
        <v>66.666666666666657</v>
      </c>
      <c r="AH47" s="184">
        <f t="shared" si="10"/>
        <v>6.6666666666666661</v>
      </c>
      <c r="AI47" s="37">
        <v>88</v>
      </c>
      <c r="AJ47" s="19">
        <v>85</v>
      </c>
      <c r="AK47" s="19"/>
      <c r="AL47" s="19"/>
      <c r="AM47" s="19"/>
      <c r="AN47" s="108"/>
      <c r="AO47" s="113">
        <f t="shared" si="11"/>
        <v>173</v>
      </c>
      <c r="AP47" s="179">
        <f t="shared" si="12"/>
        <v>93.25</v>
      </c>
      <c r="AQ47" s="184">
        <f t="shared" si="13"/>
        <v>37.300000000000004</v>
      </c>
      <c r="AR47" s="38">
        <v>0</v>
      </c>
      <c r="AS47" s="108"/>
      <c r="AT47" s="113">
        <f t="shared" si="14"/>
        <v>0</v>
      </c>
      <c r="AU47" s="179">
        <f t="shared" si="15"/>
        <v>50</v>
      </c>
      <c r="AV47" s="183">
        <f t="shared" si="16"/>
        <v>25</v>
      </c>
      <c r="AW47" s="139">
        <f t="shared" si="25"/>
        <v>68.966666666666669</v>
      </c>
      <c r="AX47" s="113" t="str">
        <f t="shared" si="26"/>
        <v>FAILED</v>
      </c>
      <c r="AZ47" s="151">
        <f t="shared" si="17"/>
        <v>47.802500000000002</v>
      </c>
      <c r="BA47" s="151">
        <f t="shared" si="18"/>
        <v>27.58666666666667</v>
      </c>
      <c r="BB47" s="151">
        <f t="shared" si="19"/>
        <v>75.389166666666668</v>
      </c>
      <c r="BC47" s="24" t="str">
        <f t="shared" si="20"/>
        <v>PASSED</v>
      </c>
    </row>
    <row r="48" spans="1:55" ht="16.8" thickTop="1" thickBot="1" x14ac:dyDescent="0.35">
      <c r="A48" s="19">
        <f>Attendance!A46</f>
        <v>39</v>
      </c>
      <c r="B48" s="20" t="str">
        <f>Attendance!B46</f>
        <v>Silagan, Thyron Cabiles</v>
      </c>
      <c r="C48" s="97">
        <f>Attendance!S46</f>
        <v>2</v>
      </c>
      <c r="D48" s="151">
        <f t="shared" si="21"/>
        <v>83.333333333333329</v>
      </c>
      <c r="E48" s="182">
        <f t="shared" si="0"/>
        <v>4.166666666666667</v>
      </c>
      <c r="F48" s="25">
        <v>40</v>
      </c>
      <c r="G48" s="29"/>
      <c r="H48" s="103"/>
      <c r="I48" s="24">
        <f t="shared" si="22"/>
        <v>40</v>
      </c>
      <c r="J48" s="151">
        <f t="shared" si="1"/>
        <v>90</v>
      </c>
      <c r="K48" s="182">
        <f t="shared" si="23"/>
        <v>13.5</v>
      </c>
      <c r="L48" s="28">
        <v>11</v>
      </c>
      <c r="M48" s="29">
        <v>9</v>
      </c>
      <c r="N48" s="29">
        <v>47</v>
      </c>
      <c r="O48" s="103"/>
      <c r="P48" s="24">
        <f t="shared" si="2"/>
        <v>67</v>
      </c>
      <c r="Q48" s="151">
        <f t="shared" si="3"/>
        <v>94.666666666666657</v>
      </c>
      <c r="R48" s="182">
        <f t="shared" si="4"/>
        <v>28.399999999999995</v>
      </c>
      <c r="S48" s="106">
        <v>77</v>
      </c>
      <c r="T48" s="151">
        <f t="shared" si="5"/>
        <v>98.125</v>
      </c>
      <c r="U48" s="182">
        <f t="shared" si="6"/>
        <v>49.0625</v>
      </c>
      <c r="V48" s="180">
        <f t="shared" si="7"/>
        <v>95.129166666666663</v>
      </c>
      <c r="W48" s="24" t="str">
        <f t="shared" si="24"/>
        <v>PASSED</v>
      </c>
      <c r="Z48" s="37">
        <v>0</v>
      </c>
      <c r="AA48" s="19">
        <v>3</v>
      </c>
      <c r="AB48" s="19">
        <v>3</v>
      </c>
      <c r="AC48" s="19"/>
      <c r="AD48" s="19"/>
      <c r="AE48" s="108"/>
      <c r="AF48" s="113">
        <f t="shared" si="8"/>
        <v>6</v>
      </c>
      <c r="AG48" s="179">
        <f t="shared" si="9"/>
        <v>83.333333333333329</v>
      </c>
      <c r="AH48" s="184">
        <f t="shared" si="10"/>
        <v>8.3333333333333339</v>
      </c>
      <c r="AI48" s="37">
        <v>88</v>
      </c>
      <c r="AJ48" s="19">
        <v>88</v>
      </c>
      <c r="AK48" s="19"/>
      <c r="AL48" s="19"/>
      <c r="AM48" s="19"/>
      <c r="AN48" s="108"/>
      <c r="AO48" s="113">
        <f t="shared" si="11"/>
        <v>176</v>
      </c>
      <c r="AP48" s="179">
        <f t="shared" si="12"/>
        <v>94</v>
      </c>
      <c r="AQ48" s="184">
        <f t="shared" si="13"/>
        <v>37.6</v>
      </c>
      <c r="AR48" s="38">
        <v>88</v>
      </c>
      <c r="AS48" s="108"/>
      <c r="AT48" s="113">
        <f t="shared" si="14"/>
        <v>88</v>
      </c>
      <c r="AU48" s="179">
        <f t="shared" si="15"/>
        <v>94</v>
      </c>
      <c r="AV48" s="183">
        <f t="shared" si="16"/>
        <v>47</v>
      </c>
      <c r="AW48" s="139">
        <f t="shared" si="25"/>
        <v>92.933333333333323</v>
      </c>
      <c r="AX48" s="113" t="str">
        <f t="shared" si="26"/>
        <v>PASSED</v>
      </c>
      <c r="AZ48" s="151">
        <f t="shared" si="17"/>
        <v>57.077499999999993</v>
      </c>
      <c r="BA48" s="151">
        <f t="shared" si="18"/>
        <v>37.173333333333332</v>
      </c>
      <c r="BB48" s="151">
        <f t="shared" si="19"/>
        <v>94.250833333333333</v>
      </c>
      <c r="BC48" s="24" t="str">
        <f t="shared" si="20"/>
        <v>PASSED</v>
      </c>
    </row>
    <row r="49" spans="1:55" ht="16.8" thickTop="1" thickBot="1" x14ac:dyDescent="0.35">
      <c r="A49" s="19">
        <f>Attendance!A47</f>
        <v>40</v>
      </c>
      <c r="B49" s="20" t="str">
        <f>Attendance!B47</f>
        <v>Suerte, Khent Briane Orcasitas</v>
      </c>
      <c r="C49" s="97">
        <f>Attendance!S47</f>
        <v>2</v>
      </c>
      <c r="D49" s="151">
        <f t="shared" si="21"/>
        <v>83.333333333333329</v>
      </c>
      <c r="E49" s="182">
        <f t="shared" si="0"/>
        <v>4.166666666666667</v>
      </c>
      <c r="F49" s="25">
        <v>40</v>
      </c>
      <c r="G49" s="29"/>
      <c r="H49" s="103"/>
      <c r="I49" s="24">
        <f t="shared" si="22"/>
        <v>40</v>
      </c>
      <c r="J49" s="151">
        <f t="shared" si="1"/>
        <v>90</v>
      </c>
      <c r="K49" s="182">
        <f t="shared" si="23"/>
        <v>13.5</v>
      </c>
      <c r="L49" s="28">
        <v>7</v>
      </c>
      <c r="M49" s="29">
        <v>5</v>
      </c>
      <c r="N49" s="29">
        <v>43</v>
      </c>
      <c r="O49" s="103"/>
      <c r="P49" s="24">
        <f t="shared" si="2"/>
        <v>55</v>
      </c>
      <c r="Q49" s="151">
        <f t="shared" si="3"/>
        <v>86.666666666666657</v>
      </c>
      <c r="R49" s="182">
        <f t="shared" si="4"/>
        <v>25.999999999999996</v>
      </c>
      <c r="S49" s="106">
        <v>52</v>
      </c>
      <c r="T49" s="151">
        <f t="shared" si="5"/>
        <v>82.5</v>
      </c>
      <c r="U49" s="182">
        <f t="shared" si="6"/>
        <v>41.25</v>
      </c>
      <c r="V49" s="180">
        <f t="shared" si="7"/>
        <v>84.916666666666671</v>
      </c>
      <c r="W49" s="24" t="str">
        <f t="shared" si="24"/>
        <v>PASSED</v>
      </c>
      <c r="Z49" s="37">
        <v>0</v>
      </c>
      <c r="AA49" s="19">
        <v>3</v>
      </c>
      <c r="AB49" s="19">
        <v>3</v>
      </c>
      <c r="AC49" s="19"/>
      <c r="AD49" s="19"/>
      <c r="AE49" s="108"/>
      <c r="AF49" s="113">
        <f t="shared" si="8"/>
        <v>6</v>
      </c>
      <c r="AG49" s="179">
        <f t="shared" si="9"/>
        <v>83.333333333333329</v>
      </c>
      <c r="AH49" s="184">
        <f t="shared" si="10"/>
        <v>8.3333333333333339</v>
      </c>
      <c r="AI49" s="37">
        <v>0</v>
      </c>
      <c r="AJ49" s="19">
        <v>85</v>
      </c>
      <c r="AK49" s="19"/>
      <c r="AL49" s="19"/>
      <c r="AM49" s="19"/>
      <c r="AN49" s="108"/>
      <c r="AO49" s="113">
        <f t="shared" si="11"/>
        <v>85</v>
      </c>
      <c r="AP49" s="179">
        <f t="shared" si="12"/>
        <v>71.25</v>
      </c>
      <c r="AQ49" s="184">
        <f t="shared" si="13"/>
        <v>28.5</v>
      </c>
      <c r="AR49" s="38">
        <v>84</v>
      </c>
      <c r="AS49" s="108"/>
      <c r="AT49" s="113">
        <f t="shared" si="14"/>
        <v>84</v>
      </c>
      <c r="AU49" s="179">
        <f t="shared" si="15"/>
        <v>92</v>
      </c>
      <c r="AV49" s="183">
        <f t="shared" si="16"/>
        <v>46</v>
      </c>
      <c r="AW49" s="139">
        <f t="shared" si="25"/>
        <v>82.833333333333329</v>
      </c>
      <c r="AX49" s="113" t="str">
        <f t="shared" si="26"/>
        <v>PASSED</v>
      </c>
      <c r="AZ49" s="151">
        <f t="shared" si="17"/>
        <v>50.95</v>
      </c>
      <c r="BA49" s="151">
        <f t="shared" si="18"/>
        <v>33.133333333333333</v>
      </c>
      <c r="BB49" s="151">
        <f t="shared" si="19"/>
        <v>84.083333333333343</v>
      </c>
      <c r="BC49" s="24" t="str">
        <f t="shared" si="20"/>
        <v>PASSED</v>
      </c>
    </row>
    <row r="50" spans="1:55" ht="16.8" thickTop="1" thickBot="1" x14ac:dyDescent="0.35">
      <c r="A50" s="19">
        <f>Attendance!A48</f>
        <v>41</v>
      </c>
      <c r="B50" s="20" t="str">
        <f>Attendance!B48</f>
        <v>Sumugat, Edgaro Jr. Cordevilla</v>
      </c>
      <c r="C50" s="97">
        <f>Attendance!S48</f>
        <v>3</v>
      </c>
      <c r="D50" s="151">
        <f t="shared" si="21"/>
        <v>100</v>
      </c>
      <c r="E50" s="182">
        <f t="shared" si="0"/>
        <v>5</v>
      </c>
      <c r="F50" s="25">
        <v>40</v>
      </c>
      <c r="G50" s="29"/>
      <c r="H50" s="103"/>
      <c r="I50" s="24">
        <f t="shared" si="22"/>
        <v>40</v>
      </c>
      <c r="J50" s="151">
        <f t="shared" si="1"/>
        <v>90</v>
      </c>
      <c r="K50" s="182">
        <f t="shared" si="23"/>
        <v>13.5</v>
      </c>
      <c r="L50" s="28">
        <v>10</v>
      </c>
      <c r="M50" s="29">
        <v>8</v>
      </c>
      <c r="N50" s="29">
        <v>42</v>
      </c>
      <c r="O50" s="103"/>
      <c r="P50" s="24">
        <f t="shared" si="2"/>
        <v>60</v>
      </c>
      <c r="Q50" s="151">
        <f t="shared" si="3"/>
        <v>90</v>
      </c>
      <c r="R50" s="182">
        <f t="shared" si="4"/>
        <v>27</v>
      </c>
      <c r="S50" s="106">
        <v>56</v>
      </c>
      <c r="T50" s="151">
        <f t="shared" si="5"/>
        <v>85</v>
      </c>
      <c r="U50" s="182">
        <f t="shared" si="6"/>
        <v>42.5</v>
      </c>
      <c r="V50" s="180">
        <f t="shared" si="7"/>
        <v>88</v>
      </c>
      <c r="W50" s="24" t="str">
        <f t="shared" si="24"/>
        <v>PASSED</v>
      </c>
      <c r="Z50" s="37">
        <v>3</v>
      </c>
      <c r="AA50" s="19">
        <v>3</v>
      </c>
      <c r="AB50" s="19">
        <v>3</v>
      </c>
      <c r="AC50" s="19"/>
      <c r="AD50" s="19"/>
      <c r="AE50" s="108"/>
      <c r="AF50" s="113">
        <f t="shared" si="8"/>
        <v>9</v>
      </c>
      <c r="AG50" s="179">
        <f t="shared" si="9"/>
        <v>100</v>
      </c>
      <c r="AH50" s="184">
        <f t="shared" si="10"/>
        <v>10</v>
      </c>
      <c r="AI50" s="37">
        <v>86</v>
      </c>
      <c r="AJ50" s="19">
        <v>88</v>
      </c>
      <c r="AK50" s="19"/>
      <c r="AL50" s="19"/>
      <c r="AM50" s="19"/>
      <c r="AN50" s="108"/>
      <c r="AO50" s="113">
        <f t="shared" si="11"/>
        <v>174</v>
      </c>
      <c r="AP50" s="179">
        <f t="shared" si="12"/>
        <v>93.5</v>
      </c>
      <c r="AQ50" s="184">
        <f t="shared" si="13"/>
        <v>37.4</v>
      </c>
      <c r="AR50" s="38">
        <v>88</v>
      </c>
      <c r="AS50" s="108"/>
      <c r="AT50" s="113">
        <f t="shared" si="14"/>
        <v>88</v>
      </c>
      <c r="AU50" s="179">
        <f t="shared" si="15"/>
        <v>94</v>
      </c>
      <c r="AV50" s="183">
        <f t="shared" si="16"/>
        <v>47</v>
      </c>
      <c r="AW50" s="139">
        <f t="shared" si="25"/>
        <v>94.4</v>
      </c>
      <c r="AX50" s="113" t="str">
        <f t="shared" si="26"/>
        <v>PASSED</v>
      </c>
      <c r="AZ50" s="151">
        <f t="shared" si="17"/>
        <v>52.8</v>
      </c>
      <c r="BA50" s="151">
        <f t="shared" si="18"/>
        <v>37.760000000000005</v>
      </c>
      <c r="BB50" s="151">
        <f t="shared" si="19"/>
        <v>90.56</v>
      </c>
      <c r="BC50" s="24" t="str">
        <f t="shared" si="20"/>
        <v>PASSED</v>
      </c>
    </row>
    <row r="51" spans="1:55" ht="16.8" thickTop="1" thickBot="1" x14ac:dyDescent="0.35">
      <c r="A51" s="19">
        <f>Attendance!A49</f>
        <v>42</v>
      </c>
      <c r="B51" s="20" t="str">
        <f>Attendance!B49</f>
        <v>Tampus, Cale Janine Bringas</v>
      </c>
      <c r="C51" s="97">
        <f>Attendance!S49</f>
        <v>3</v>
      </c>
      <c r="D51" s="151">
        <f t="shared" si="21"/>
        <v>100</v>
      </c>
      <c r="E51" s="182">
        <f t="shared" si="0"/>
        <v>5</v>
      </c>
      <c r="F51" s="25">
        <v>40</v>
      </c>
      <c r="G51" s="29"/>
      <c r="H51" s="103"/>
      <c r="I51" s="24">
        <f t="shared" si="22"/>
        <v>40</v>
      </c>
      <c r="J51" s="151">
        <f t="shared" si="1"/>
        <v>90</v>
      </c>
      <c r="K51" s="182">
        <f t="shared" si="23"/>
        <v>13.5</v>
      </c>
      <c r="L51" s="28">
        <v>6</v>
      </c>
      <c r="M51" s="29">
        <v>7</v>
      </c>
      <c r="N51" s="29">
        <v>47</v>
      </c>
      <c r="O51" s="103"/>
      <c r="P51" s="24">
        <f t="shared" si="2"/>
        <v>60</v>
      </c>
      <c r="Q51" s="151">
        <f t="shared" si="3"/>
        <v>90</v>
      </c>
      <c r="R51" s="182">
        <f t="shared" si="4"/>
        <v>27</v>
      </c>
      <c r="S51" s="106">
        <v>72</v>
      </c>
      <c r="T51" s="151">
        <f t="shared" si="5"/>
        <v>95</v>
      </c>
      <c r="U51" s="182">
        <f t="shared" si="6"/>
        <v>47.5</v>
      </c>
      <c r="V51" s="180">
        <f t="shared" si="7"/>
        <v>93</v>
      </c>
      <c r="W51" s="24" t="str">
        <f t="shared" si="24"/>
        <v>PASSED</v>
      </c>
      <c r="Z51" s="37">
        <v>3</v>
      </c>
      <c r="AA51" s="19">
        <v>3</v>
      </c>
      <c r="AB51" s="19">
        <v>3</v>
      </c>
      <c r="AC51" s="19"/>
      <c r="AD51" s="19"/>
      <c r="AE51" s="108"/>
      <c r="AF51" s="113">
        <f t="shared" si="8"/>
        <v>9</v>
      </c>
      <c r="AG51" s="179">
        <f t="shared" si="9"/>
        <v>100</v>
      </c>
      <c r="AH51" s="184">
        <f t="shared" si="10"/>
        <v>10</v>
      </c>
      <c r="AI51" s="37">
        <v>86</v>
      </c>
      <c r="AJ51" s="19">
        <v>88</v>
      </c>
      <c r="AK51" s="19"/>
      <c r="AL51" s="19"/>
      <c r="AM51" s="19"/>
      <c r="AN51" s="108"/>
      <c r="AO51" s="113">
        <f t="shared" si="11"/>
        <v>174</v>
      </c>
      <c r="AP51" s="179">
        <f t="shared" si="12"/>
        <v>93.5</v>
      </c>
      <c r="AQ51" s="184">
        <f t="shared" si="13"/>
        <v>37.4</v>
      </c>
      <c r="AR51" s="38">
        <v>83</v>
      </c>
      <c r="AS51" s="108"/>
      <c r="AT51" s="113">
        <f t="shared" si="14"/>
        <v>83</v>
      </c>
      <c r="AU51" s="179">
        <f t="shared" si="15"/>
        <v>91.5</v>
      </c>
      <c r="AV51" s="183">
        <f t="shared" si="16"/>
        <v>45.75</v>
      </c>
      <c r="AW51" s="139">
        <f t="shared" si="25"/>
        <v>93.15</v>
      </c>
      <c r="AX51" s="113" t="str">
        <f t="shared" si="26"/>
        <v>PASSED</v>
      </c>
      <c r="AZ51" s="151">
        <f t="shared" si="17"/>
        <v>55.8</v>
      </c>
      <c r="BA51" s="151">
        <f t="shared" si="18"/>
        <v>37.260000000000005</v>
      </c>
      <c r="BB51" s="151">
        <f t="shared" si="19"/>
        <v>93.06</v>
      </c>
      <c r="BC51" s="24" t="str">
        <f t="shared" si="20"/>
        <v>PASSED</v>
      </c>
    </row>
    <row r="52" spans="1:55" ht="16.8" thickTop="1" thickBot="1" x14ac:dyDescent="0.35">
      <c r="A52" s="19">
        <f>Attendance!A50</f>
        <v>43</v>
      </c>
      <c r="B52" s="20" t="str">
        <f>Attendance!B50</f>
        <v>Trespeses, Reykarl Pendon</v>
      </c>
      <c r="C52" s="97">
        <f>Attendance!S50</f>
        <v>0</v>
      </c>
      <c r="D52" s="151">
        <f t="shared" si="21"/>
        <v>50</v>
      </c>
      <c r="E52" s="182">
        <f t="shared" si="0"/>
        <v>2.5</v>
      </c>
      <c r="F52" s="25">
        <v>0</v>
      </c>
      <c r="G52" s="87"/>
      <c r="H52" s="123"/>
      <c r="I52" s="24">
        <f t="shared" si="22"/>
        <v>0</v>
      </c>
      <c r="J52" s="151">
        <f t="shared" si="1"/>
        <v>50</v>
      </c>
      <c r="K52" s="182">
        <f t="shared" si="23"/>
        <v>7.5</v>
      </c>
      <c r="L52" s="122">
        <v>0</v>
      </c>
      <c r="M52" s="87">
        <v>0</v>
      </c>
      <c r="N52" s="87">
        <v>0</v>
      </c>
      <c r="O52" s="88"/>
      <c r="P52" s="120">
        <f t="shared" si="2"/>
        <v>0</v>
      </c>
      <c r="Q52" s="151">
        <f t="shared" si="3"/>
        <v>50</v>
      </c>
      <c r="R52" s="182">
        <f t="shared" si="4"/>
        <v>15</v>
      </c>
      <c r="S52" s="98">
        <v>0</v>
      </c>
      <c r="T52" s="151">
        <f t="shared" si="5"/>
        <v>50</v>
      </c>
      <c r="U52" s="182">
        <f t="shared" si="6"/>
        <v>25</v>
      </c>
      <c r="V52" s="180">
        <f t="shared" si="7"/>
        <v>50</v>
      </c>
      <c r="W52" s="24" t="str">
        <f t="shared" si="24"/>
        <v>FAILED</v>
      </c>
      <c r="Z52" s="125">
        <v>0</v>
      </c>
      <c r="AA52" s="95">
        <v>0</v>
      </c>
      <c r="AB52" s="95">
        <v>0</v>
      </c>
      <c r="AC52" s="95"/>
      <c r="AD52" s="95"/>
      <c r="AE52" s="112"/>
      <c r="AF52" s="113">
        <f t="shared" si="8"/>
        <v>0</v>
      </c>
      <c r="AG52" s="179">
        <f t="shared" si="9"/>
        <v>50</v>
      </c>
      <c r="AH52" s="184">
        <f t="shared" si="10"/>
        <v>5</v>
      </c>
      <c r="AI52" s="125">
        <v>0</v>
      </c>
      <c r="AJ52" s="95">
        <v>0</v>
      </c>
      <c r="AK52" s="95"/>
      <c r="AL52" s="95"/>
      <c r="AM52" s="95"/>
      <c r="AN52" s="112"/>
      <c r="AO52" s="113">
        <f t="shared" si="11"/>
        <v>0</v>
      </c>
      <c r="AP52" s="179">
        <f t="shared" si="12"/>
        <v>50</v>
      </c>
      <c r="AQ52" s="184">
        <f t="shared" si="13"/>
        <v>20</v>
      </c>
      <c r="AR52" s="94">
        <v>0</v>
      </c>
      <c r="AS52" s="112"/>
      <c r="AT52" s="113">
        <f t="shared" si="14"/>
        <v>0</v>
      </c>
      <c r="AU52" s="179">
        <f t="shared" si="15"/>
        <v>50</v>
      </c>
      <c r="AV52" s="183">
        <f t="shared" si="16"/>
        <v>25</v>
      </c>
      <c r="AW52" s="139">
        <f t="shared" si="25"/>
        <v>50</v>
      </c>
      <c r="AX52" s="113" t="str">
        <f t="shared" si="26"/>
        <v>FAILED</v>
      </c>
      <c r="AZ52" s="151">
        <f t="shared" si="17"/>
        <v>30</v>
      </c>
      <c r="BA52" s="151">
        <f t="shared" si="18"/>
        <v>20</v>
      </c>
      <c r="BB52" s="151">
        <f t="shared" si="19"/>
        <v>50</v>
      </c>
      <c r="BC52" s="24" t="str">
        <f t="shared" si="20"/>
        <v>FAILED</v>
      </c>
    </row>
    <row r="53" spans="1:55" ht="16.8" thickTop="1" thickBot="1" x14ac:dyDescent="0.35">
      <c r="A53" s="19">
        <f>Attendance!A51</f>
        <v>44</v>
      </c>
      <c r="B53" s="20" t="str">
        <f>Attendance!B51</f>
        <v>Tuloganon, Raffy Verano</v>
      </c>
      <c r="C53" s="97">
        <f>Attendance!S51</f>
        <v>3</v>
      </c>
      <c r="D53" s="151">
        <f t="shared" si="21"/>
        <v>100</v>
      </c>
      <c r="E53" s="182">
        <f t="shared" ref="E53:E54" si="27">D53*0.05</f>
        <v>5</v>
      </c>
      <c r="F53" s="25">
        <v>40</v>
      </c>
      <c r="G53" s="29"/>
      <c r="H53" s="89"/>
      <c r="I53" s="120">
        <f t="shared" ref="I53:I54" si="28">SUM(F53:H53)</f>
        <v>40</v>
      </c>
      <c r="J53" s="151">
        <f t="shared" ref="J53:J54" si="29">(I53/SUM($F$9:$H$9))*50+50</f>
        <v>90</v>
      </c>
      <c r="K53" s="182">
        <f t="shared" ref="K53:K54" si="30">J53*0.15</f>
        <v>13.5</v>
      </c>
      <c r="L53" s="90">
        <v>10</v>
      </c>
      <c r="M53" s="29">
        <v>7</v>
      </c>
      <c r="N53" s="29">
        <v>45</v>
      </c>
      <c r="O53" s="89"/>
      <c r="P53" s="120">
        <f t="shared" ref="P53:P54" si="31">SUM(L53:O53)</f>
        <v>62</v>
      </c>
      <c r="Q53" s="151">
        <f t="shared" ref="Q53:Q54" si="32">(P53/SUM($L$9:$O$9))*50+50</f>
        <v>91.333333333333343</v>
      </c>
      <c r="R53" s="182">
        <f t="shared" ref="R53:R54" si="33">Q53*0.3</f>
        <v>27.400000000000002</v>
      </c>
      <c r="S53" s="121">
        <v>68</v>
      </c>
      <c r="T53" s="181">
        <f t="shared" ref="T53:T54" si="34">S53/($S$9)*50+50</f>
        <v>92.5</v>
      </c>
      <c r="U53" s="182">
        <f t="shared" ref="U53:U54" si="35">T53*0.5</f>
        <v>46.25</v>
      </c>
      <c r="V53" s="180">
        <f t="shared" si="7"/>
        <v>92.15</v>
      </c>
      <c r="W53" s="24" t="str">
        <f t="shared" ref="W53:W54" si="36">IF(V53&lt;74.5,"FAILED","PASSED")</f>
        <v>PASSED</v>
      </c>
      <c r="Y53" s="127"/>
      <c r="Z53" s="38">
        <v>3</v>
      </c>
      <c r="AA53" s="19">
        <v>3</v>
      </c>
      <c r="AB53" s="19">
        <v>3</v>
      </c>
      <c r="AC53" s="19"/>
      <c r="AD53" s="19"/>
      <c r="AE53" s="126"/>
      <c r="AF53" s="124">
        <f t="shared" ref="AF53:AF54" si="37">SUM(Z53:AE53)</f>
        <v>9</v>
      </c>
      <c r="AG53" s="179">
        <f t="shared" ref="AG53:AG54" si="38">(AF53/SUM($Z$9:$AE$9))*50+50</f>
        <v>100</v>
      </c>
      <c r="AH53" s="184">
        <f t="shared" ref="AH53:AH54" si="39">AG53*0.1</f>
        <v>10</v>
      </c>
      <c r="AI53" s="38">
        <v>85</v>
      </c>
      <c r="AJ53" s="19">
        <v>85</v>
      </c>
      <c r="AK53" s="19"/>
      <c r="AL53" s="19"/>
      <c r="AM53" s="19"/>
      <c r="AN53" s="126"/>
      <c r="AO53" s="124">
        <f t="shared" ref="AO53:AO54" si="40">SUM(AI53:AN53)</f>
        <v>170</v>
      </c>
      <c r="AP53" s="179">
        <f t="shared" ref="AP53:AP54" si="41">(AO53/SUM($AI$9:$AN$9))*50+50</f>
        <v>92.5</v>
      </c>
      <c r="AQ53" s="184">
        <f t="shared" ref="AQ53:AQ54" si="42">AP53*0.4</f>
        <v>37</v>
      </c>
      <c r="AR53" s="38">
        <v>88</v>
      </c>
      <c r="AS53" s="126"/>
      <c r="AT53" s="124">
        <f t="shared" ref="AT53:AT54" si="43">SUM(AR53:AS53)</f>
        <v>88</v>
      </c>
      <c r="AU53" s="179">
        <f t="shared" ref="AU53:AU54" si="44">(AT53/SUM($AR$9:$AS$9))*50+50</f>
        <v>94</v>
      </c>
      <c r="AV53" s="183">
        <f t="shared" ref="AV53:AV54" si="45">AU53*0.5</f>
        <v>47</v>
      </c>
      <c r="AW53" s="139">
        <f t="shared" si="25"/>
        <v>94</v>
      </c>
      <c r="AX53" s="113" t="str">
        <f t="shared" ref="AX53:AX54" si="46">IF(AW53&lt;74.5, "FAILED", "PASSED")</f>
        <v>PASSED</v>
      </c>
      <c r="AZ53" s="151">
        <f t="shared" ref="AZ53:AZ54" si="47">V53*0.6</f>
        <v>55.29</v>
      </c>
      <c r="BA53" s="151">
        <f t="shared" ref="BA53:BA54" si="48">AW53*0.4</f>
        <v>37.6</v>
      </c>
      <c r="BB53" s="151">
        <f t="shared" ref="BB53:BB54" si="49">SUM(AZ53:BA53)</f>
        <v>92.89</v>
      </c>
      <c r="BC53" s="24" t="str">
        <f t="shared" ref="BC53:BC54" si="50">IF(BB53&lt;74.5,"FAILED","PASSED")</f>
        <v>PASSED</v>
      </c>
    </row>
    <row r="54" spans="1:55" ht="16.8" thickTop="1" thickBot="1" x14ac:dyDescent="0.35">
      <c r="A54" s="19">
        <f>Attendance!A52</f>
        <v>45</v>
      </c>
      <c r="B54" s="20" t="str">
        <f>Attendance!B52</f>
        <v>Verial, Marlou Cebuco</v>
      </c>
      <c r="C54" s="97">
        <f>Attendance!S52</f>
        <v>0</v>
      </c>
      <c r="D54" s="151">
        <f t="shared" si="21"/>
        <v>50</v>
      </c>
      <c r="E54" s="182">
        <f t="shared" si="27"/>
        <v>2.5</v>
      </c>
      <c r="F54" s="25">
        <v>0</v>
      </c>
      <c r="G54" s="29"/>
      <c r="H54" s="89"/>
      <c r="I54" s="120">
        <f t="shared" si="28"/>
        <v>0</v>
      </c>
      <c r="J54" s="151">
        <f t="shared" si="29"/>
        <v>50</v>
      </c>
      <c r="K54" s="182">
        <f t="shared" si="30"/>
        <v>7.5</v>
      </c>
      <c r="L54" s="86">
        <v>0</v>
      </c>
      <c r="M54" s="21">
        <v>0</v>
      </c>
      <c r="N54" s="21">
        <v>38</v>
      </c>
      <c r="O54" s="22"/>
      <c r="P54" s="120">
        <f t="shared" si="31"/>
        <v>38</v>
      </c>
      <c r="Q54" s="151">
        <f t="shared" si="32"/>
        <v>75.333333333333343</v>
      </c>
      <c r="R54" s="182">
        <f t="shared" si="33"/>
        <v>22.6</v>
      </c>
      <c r="S54" s="91">
        <v>43</v>
      </c>
      <c r="T54" s="181">
        <f t="shared" si="34"/>
        <v>76.875</v>
      </c>
      <c r="U54" s="182">
        <f t="shared" si="35"/>
        <v>38.4375</v>
      </c>
      <c r="V54" s="180">
        <f t="shared" si="7"/>
        <v>71.037499999999994</v>
      </c>
      <c r="W54" s="24" t="str">
        <f t="shared" si="36"/>
        <v>FAILED</v>
      </c>
      <c r="Y54" s="127"/>
      <c r="Z54" s="30">
        <v>0</v>
      </c>
      <c r="AA54" s="31">
        <v>0</v>
      </c>
      <c r="AB54" s="31">
        <v>0</v>
      </c>
      <c r="AC54" s="31"/>
      <c r="AD54" s="31"/>
      <c r="AE54" s="32"/>
      <c r="AF54" s="124">
        <f t="shared" si="37"/>
        <v>0</v>
      </c>
      <c r="AG54" s="179">
        <f t="shared" si="38"/>
        <v>50</v>
      </c>
      <c r="AH54" s="184">
        <f t="shared" si="39"/>
        <v>5</v>
      </c>
      <c r="AI54" s="30">
        <v>0</v>
      </c>
      <c r="AJ54" s="31">
        <v>0</v>
      </c>
      <c r="AK54" s="31"/>
      <c r="AL54" s="31"/>
      <c r="AM54" s="31"/>
      <c r="AN54" s="32"/>
      <c r="AO54" s="124">
        <f t="shared" si="40"/>
        <v>0</v>
      </c>
      <c r="AP54" s="179">
        <f t="shared" si="41"/>
        <v>50</v>
      </c>
      <c r="AQ54" s="184">
        <f t="shared" si="42"/>
        <v>20</v>
      </c>
      <c r="AR54" s="30">
        <v>0</v>
      </c>
      <c r="AS54" s="32"/>
      <c r="AT54" s="124">
        <f t="shared" si="43"/>
        <v>0</v>
      </c>
      <c r="AU54" s="179">
        <f t="shared" si="44"/>
        <v>50</v>
      </c>
      <c r="AV54" s="183">
        <f t="shared" si="45"/>
        <v>25</v>
      </c>
      <c r="AW54" s="139">
        <f t="shared" si="25"/>
        <v>50</v>
      </c>
      <c r="AX54" s="113" t="str">
        <f t="shared" si="46"/>
        <v>FAILED</v>
      </c>
      <c r="AZ54" s="151">
        <f t="shared" si="47"/>
        <v>42.622499999999995</v>
      </c>
      <c r="BA54" s="151">
        <f t="shared" si="48"/>
        <v>20</v>
      </c>
      <c r="BB54" s="151">
        <f t="shared" si="49"/>
        <v>62.622499999999995</v>
      </c>
      <c r="BC54" s="24" t="str">
        <f t="shared" si="50"/>
        <v>FAILED</v>
      </c>
    </row>
    <row r="55" spans="1:55" ht="16.2" thickTop="1" x14ac:dyDescent="0.3"/>
  </sheetData>
  <mergeCells count="26">
    <mergeCell ref="AZ6:BC6"/>
    <mergeCell ref="AZ7:AZ8"/>
    <mergeCell ref="BA7:BA8"/>
    <mergeCell ref="BB7:BB8"/>
    <mergeCell ref="BC7:BC8"/>
    <mergeCell ref="L8:R8"/>
    <mergeCell ref="S8:U8"/>
    <mergeCell ref="Z8:AH8"/>
    <mergeCell ref="AI8:AQ8"/>
    <mergeCell ref="AR8:AV8"/>
    <mergeCell ref="C2:AX4"/>
    <mergeCell ref="C6:U6"/>
    <mergeCell ref="Z6:AX6"/>
    <mergeCell ref="C7:E7"/>
    <mergeCell ref="F7:K7"/>
    <mergeCell ref="L7:R7"/>
    <mergeCell ref="S7:U7"/>
    <mergeCell ref="V7:V8"/>
    <mergeCell ref="W7:W8"/>
    <mergeCell ref="Z7:AH7"/>
    <mergeCell ref="AI7:AQ7"/>
    <mergeCell ref="AR7:AV7"/>
    <mergeCell ref="AW7:AW8"/>
    <mergeCell ref="AX7:AX8"/>
    <mergeCell ref="C8:E8"/>
    <mergeCell ref="F8:K8"/>
  </mergeCells>
  <conditionalFormatting sqref="W10:W54">
    <cfRule type="containsText" dxfId="14" priority="5" operator="containsText" text="FAILED">
      <formula>NOT(ISERROR(SEARCH("FAILED",W10)))</formula>
    </cfRule>
    <cfRule type="containsText" dxfId="13" priority="6" operator="containsText" text="PASSED">
      <formula>NOT(ISERROR(SEARCH("PASSED",W10)))</formula>
    </cfRule>
  </conditionalFormatting>
  <conditionalFormatting sqref="AX10:AX54">
    <cfRule type="containsText" dxfId="12" priority="3" operator="containsText" text="PASSED">
      <formula>NOT(ISERROR(SEARCH("PASSED",AX10)))</formula>
    </cfRule>
    <cfRule type="containsText" dxfId="11" priority="4" operator="containsText" text="FAILED">
      <formula>NOT(ISERROR(SEARCH("FAILED",AX10)))</formula>
    </cfRule>
  </conditionalFormatting>
  <conditionalFormatting sqref="BC9:BC54">
    <cfRule type="containsText" dxfId="10" priority="1" operator="containsText" text="FAILED">
      <formula>NOT(ISERROR(SEARCH("FAILED",BC9)))</formula>
    </cfRule>
    <cfRule type="containsText" dxfId="9" priority="2" operator="containsText" text="PASSED">
      <formula>NOT(ISERROR(SEARCH("PASSED",BC9)))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47D8D-7D55-45B1-A506-062FAE4F3B65}">
  <dimension ref="A1:BC55"/>
  <sheetViews>
    <sheetView zoomScale="71" workbookViewId="0">
      <pane xSplit="2" topLeftCell="C1" activePane="topRight" state="frozen"/>
      <selection pane="topRight" activeCell="AR53" sqref="AR53"/>
    </sheetView>
  </sheetViews>
  <sheetFormatPr defaultRowHeight="15.6" x14ac:dyDescent="0.3"/>
  <cols>
    <col min="1" max="1" width="4.77734375" style="3" customWidth="1"/>
    <col min="2" max="2" width="53.77734375" style="3" customWidth="1"/>
    <col min="3" max="21" width="8.88671875" style="3"/>
    <col min="22" max="22" width="17.5546875" style="3" customWidth="1"/>
    <col min="23" max="23" width="18.109375" style="3" customWidth="1"/>
    <col min="24" max="48" width="8.88671875" style="3"/>
    <col min="49" max="49" width="17.5546875" style="3" customWidth="1"/>
    <col min="50" max="50" width="17.88671875" style="3" customWidth="1"/>
    <col min="51" max="51" width="8.88671875" style="3"/>
    <col min="52" max="54" width="18" style="3" customWidth="1"/>
    <col min="55" max="55" width="17.6640625" style="3" customWidth="1"/>
    <col min="56" max="16384" width="8.88671875" style="3"/>
  </cols>
  <sheetData>
    <row r="1" spans="1:55" x14ac:dyDescent="0.3">
      <c r="B1" s="3" t="str">
        <f>Attendance!B1</f>
        <v>SUBJECT: IS 2</v>
      </c>
    </row>
    <row r="2" spans="1:55" x14ac:dyDescent="0.3">
      <c r="B2" s="3" t="str">
        <f>Attendance!B2</f>
        <v>COURSE/YEAR: BSIT 1D</v>
      </c>
      <c r="C2" s="226" t="s">
        <v>24</v>
      </c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7"/>
      <c r="AT2" s="227"/>
      <c r="AU2" s="227"/>
      <c r="AV2" s="227"/>
      <c r="AW2" s="227"/>
      <c r="AX2" s="227"/>
    </row>
    <row r="3" spans="1:55" x14ac:dyDescent="0.3">
      <c r="B3" s="3" t="str">
        <f>Attendance!B3</f>
        <v>TIME: 1:00 PM - 5:00 PM</v>
      </c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7"/>
      <c r="AJ3" s="227"/>
      <c r="AK3" s="227"/>
      <c r="AL3" s="227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</row>
    <row r="4" spans="1:55" x14ac:dyDescent="0.3">
      <c r="B4" s="3" t="str">
        <f>Attendance!B4</f>
        <v>ROOM: COMPLAB 4</v>
      </c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7"/>
      <c r="AD4" s="227"/>
      <c r="AE4" s="227"/>
      <c r="AF4" s="227"/>
      <c r="AG4" s="227"/>
      <c r="AH4" s="227"/>
      <c r="AI4" s="227"/>
      <c r="AJ4" s="227"/>
      <c r="AK4" s="227"/>
      <c r="AL4" s="227"/>
      <c r="AM4" s="227"/>
      <c r="AN4" s="227"/>
      <c r="AO4" s="227"/>
      <c r="AP4" s="227"/>
      <c r="AQ4" s="227"/>
      <c r="AR4" s="227"/>
      <c r="AS4" s="227"/>
      <c r="AT4" s="227"/>
      <c r="AU4" s="227"/>
      <c r="AV4" s="227"/>
      <c r="AW4" s="227"/>
      <c r="AX4" s="227"/>
    </row>
    <row r="5" spans="1:55" ht="16.2" thickBot="1" x14ac:dyDescent="0.35">
      <c r="B5" s="3" t="str">
        <f>Attendance!B5</f>
        <v>UNITS: 2</v>
      </c>
    </row>
    <row r="6" spans="1:55" ht="16.8" thickTop="1" thickBot="1" x14ac:dyDescent="0.35">
      <c r="C6" s="228" t="s">
        <v>16</v>
      </c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8"/>
      <c r="Q6" s="228"/>
      <c r="R6" s="228"/>
      <c r="S6" s="228"/>
      <c r="T6" s="228"/>
      <c r="U6" s="228"/>
      <c r="V6" s="4"/>
      <c r="W6" s="4"/>
      <c r="X6" s="4"/>
      <c r="Z6" s="229" t="s">
        <v>22</v>
      </c>
      <c r="AA6" s="229"/>
      <c r="AB6" s="229"/>
      <c r="AC6" s="229"/>
      <c r="AD6" s="229"/>
      <c r="AE6" s="229"/>
      <c r="AF6" s="229"/>
      <c r="AG6" s="229"/>
      <c r="AH6" s="229"/>
      <c r="AI6" s="229"/>
      <c r="AJ6" s="229"/>
      <c r="AK6" s="229"/>
      <c r="AL6" s="229"/>
      <c r="AM6" s="229"/>
      <c r="AN6" s="229"/>
      <c r="AO6" s="229"/>
      <c r="AP6" s="229"/>
      <c r="AQ6" s="229"/>
      <c r="AR6" s="229"/>
      <c r="AS6" s="229"/>
      <c r="AT6" s="229"/>
      <c r="AU6" s="229"/>
      <c r="AV6" s="229"/>
      <c r="AW6" s="229"/>
      <c r="AX6" s="229"/>
      <c r="AZ6" s="257" t="s">
        <v>25</v>
      </c>
      <c r="BA6" s="258"/>
      <c r="BB6" s="258"/>
      <c r="BC6" s="259"/>
    </row>
    <row r="7" spans="1:55" ht="15.6" customHeight="1" thickTop="1" thickBot="1" x14ac:dyDescent="0.35">
      <c r="C7" s="230" t="s">
        <v>12</v>
      </c>
      <c r="D7" s="231"/>
      <c r="E7" s="232"/>
      <c r="F7" s="230" t="s">
        <v>13</v>
      </c>
      <c r="G7" s="231"/>
      <c r="H7" s="231"/>
      <c r="I7" s="231"/>
      <c r="J7" s="231"/>
      <c r="K7" s="232"/>
      <c r="L7" s="230" t="s">
        <v>14</v>
      </c>
      <c r="M7" s="231"/>
      <c r="N7" s="231"/>
      <c r="O7" s="231"/>
      <c r="P7" s="231"/>
      <c r="Q7" s="231"/>
      <c r="R7" s="232"/>
      <c r="S7" s="230" t="s">
        <v>15</v>
      </c>
      <c r="T7" s="231"/>
      <c r="U7" s="232"/>
      <c r="V7" s="233" t="s">
        <v>20</v>
      </c>
      <c r="W7" s="235" t="s">
        <v>21</v>
      </c>
      <c r="X7" s="4"/>
      <c r="Z7" s="237" t="s">
        <v>12</v>
      </c>
      <c r="AA7" s="238"/>
      <c r="AB7" s="238"/>
      <c r="AC7" s="238"/>
      <c r="AD7" s="238"/>
      <c r="AE7" s="238"/>
      <c r="AF7" s="238"/>
      <c r="AG7" s="238"/>
      <c r="AH7" s="239"/>
      <c r="AI7" s="240" t="s">
        <v>18</v>
      </c>
      <c r="AJ7" s="241"/>
      <c r="AK7" s="241"/>
      <c r="AL7" s="241"/>
      <c r="AM7" s="241"/>
      <c r="AN7" s="241"/>
      <c r="AO7" s="241"/>
      <c r="AP7" s="241"/>
      <c r="AQ7" s="242"/>
      <c r="AR7" s="243" t="s">
        <v>19</v>
      </c>
      <c r="AS7" s="241"/>
      <c r="AT7" s="241"/>
      <c r="AU7" s="241"/>
      <c r="AV7" s="242"/>
      <c r="AW7" s="244" t="s">
        <v>20</v>
      </c>
      <c r="AX7" s="235" t="s">
        <v>21</v>
      </c>
      <c r="AZ7" s="260" t="s">
        <v>26</v>
      </c>
      <c r="BA7" s="262" t="s">
        <v>27</v>
      </c>
      <c r="BB7" s="262" t="s">
        <v>20</v>
      </c>
      <c r="BC7" s="264" t="s">
        <v>21</v>
      </c>
    </row>
    <row r="8" spans="1:55" ht="16.8" thickTop="1" thickBot="1" x14ac:dyDescent="0.35">
      <c r="C8" s="246">
        <v>0.05</v>
      </c>
      <c r="D8" s="247"/>
      <c r="E8" s="248"/>
      <c r="F8" s="246">
        <v>0.15</v>
      </c>
      <c r="G8" s="249"/>
      <c r="H8" s="249"/>
      <c r="I8" s="247"/>
      <c r="J8" s="247"/>
      <c r="K8" s="248"/>
      <c r="L8" s="246">
        <v>0.3</v>
      </c>
      <c r="M8" s="249"/>
      <c r="N8" s="249"/>
      <c r="O8" s="249"/>
      <c r="P8" s="247"/>
      <c r="Q8" s="247"/>
      <c r="R8" s="248"/>
      <c r="S8" s="246">
        <v>0.5</v>
      </c>
      <c r="T8" s="247"/>
      <c r="U8" s="248"/>
      <c r="V8" s="234"/>
      <c r="W8" s="236"/>
      <c r="X8" s="5"/>
      <c r="Z8" s="250">
        <v>0.1</v>
      </c>
      <c r="AA8" s="251"/>
      <c r="AB8" s="251"/>
      <c r="AC8" s="251"/>
      <c r="AD8" s="251"/>
      <c r="AE8" s="251"/>
      <c r="AF8" s="252"/>
      <c r="AG8" s="252"/>
      <c r="AH8" s="253"/>
      <c r="AI8" s="246">
        <v>0.4</v>
      </c>
      <c r="AJ8" s="249"/>
      <c r="AK8" s="249"/>
      <c r="AL8" s="249"/>
      <c r="AM8" s="249"/>
      <c r="AN8" s="249"/>
      <c r="AO8" s="247"/>
      <c r="AP8" s="247"/>
      <c r="AQ8" s="248"/>
      <c r="AR8" s="246">
        <v>0.5</v>
      </c>
      <c r="AS8" s="254"/>
      <c r="AT8" s="255"/>
      <c r="AU8" s="255"/>
      <c r="AV8" s="256"/>
      <c r="AW8" s="245"/>
      <c r="AX8" s="236"/>
      <c r="AZ8" s="261"/>
      <c r="BA8" s="263"/>
      <c r="BB8" s="263"/>
      <c r="BC8" s="265"/>
    </row>
    <row r="9" spans="1:55" ht="16.8" thickTop="1" thickBot="1" x14ac:dyDescent="0.35">
      <c r="A9" s="65" t="s">
        <v>9</v>
      </c>
      <c r="B9" s="66" t="s">
        <v>10</v>
      </c>
      <c r="C9" s="96">
        <v>3</v>
      </c>
      <c r="D9" s="100">
        <f>C9/3*50+50</f>
        <v>100</v>
      </c>
      <c r="E9" s="100">
        <f>D9*0.05</f>
        <v>5</v>
      </c>
      <c r="F9" s="23">
        <v>50</v>
      </c>
      <c r="G9" s="21"/>
      <c r="H9" s="101"/>
      <c r="I9" s="100">
        <f>SUM(F9:H9)</f>
        <v>50</v>
      </c>
      <c r="J9" s="100">
        <f>(I9/SUM($F$9:$H$9))*50+50</f>
        <v>100</v>
      </c>
      <c r="K9" s="100">
        <f>J9*0.15</f>
        <v>15</v>
      </c>
      <c r="L9" s="23">
        <v>15</v>
      </c>
      <c r="M9" s="21">
        <v>15</v>
      </c>
      <c r="N9" s="21">
        <v>10</v>
      </c>
      <c r="O9" s="101"/>
      <c r="P9" s="100">
        <f>SUM(L9:O9)</f>
        <v>40</v>
      </c>
      <c r="Q9" s="100">
        <f>(P9/SUM($L$9:$O$9))*50+50</f>
        <v>100</v>
      </c>
      <c r="R9" s="100">
        <f>Q9*0.3</f>
        <v>30</v>
      </c>
      <c r="S9" s="99">
        <v>80</v>
      </c>
      <c r="T9" s="100">
        <f>S9/($S$9)*50+50</f>
        <v>100</v>
      </c>
      <c r="U9" s="100">
        <f>T9*0.5</f>
        <v>50</v>
      </c>
      <c r="V9" s="67">
        <f>SUM(U9,R9,K9,E9)</f>
        <v>100</v>
      </c>
      <c r="W9" s="24"/>
      <c r="Z9" s="30">
        <v>3</v>
      </c>
      <c r="AA9" s="31">
        <v>3</v>
      </c>
      <c r="AB9" s="31">
        <v>3</v>
      </c>
      <c r="AC9" s="31"/>
      <c r="AD9" s="31"/>
      <c r="AE9" s="68"/>
      <c r="AF9" s="110">
        <f>SUM(Z9:AE9)</f>
        <v>9</v>
      </c>
      <c r="AG9" s="110">
        <f>(AF9/SUM($Z$9:$AE$9))*50+50</f>
        <v>100</v>
      </c>
      <c r="AH9" s="110">
        <f>AG9*0.1</f>
        <v>10</v>
      </c>
      <c r="AI9" s="30">
        <v>100</v>
      </c>
      <c r="AJ9" s="31">
        <v>100</v>
      </c>
      <c r="AK9" s="31">
        <v>100</v>
      </c>
      <c r="AL9" s="31"/>
      <c r="AM9" s="31"/>
      <c r="AN9" s="68"/>
      <c r="AO9" s="110">
        <f>SUM(AI9:AN9)</f>
        <v>300</v>
      </c>
      <c r="AP9" s="136">
        <f>(AO9/SUM($AI$9:$AN$9))*50+50</f>
        <v>100</v>
      </c>
      <c r="AQ9" s="110">
        <f>AP9*0.4</f>
        <v>40</v>
      </c>
      <c r="AR9" s="33">
        <v>100</v>
      </c>
      <c r="AS9" s="68"/>
      <c r="AT9" s="110">
        <f>SUM(AR9:AS9)</f>
        <v>100</v>
      </c>
      <c r="AU9" s="110">
        <f>(AT9/SUM($AR$9:$AS$9))*50+50</f>
        <v>100</v>
      </c>
      <c r="AV9" s="110">
        <f>AU9*0.5</f>
        <v>50</v>
      </c>
      <c r="AW9" s="119">
        <f>SUM(AV9,AQ9,AH9)</f>
        <v>100</v>
      </c>
      <c r="AX9" s="113"/>
      <c r="AZ9" s="24">
        <f>V9*0.6</f>
        <v>60</v>
      </c>
      <c r="BA9" s="24">
        <f>AW9*0.4</f>
        <v>40</v>
      </c>
      <c r="BB9" s="24">
        <f>SUM(AZ9:BA9)</f>
        <v>100</v>
      </c>
      <c r="BC9" s="24" t="str">
        <f>IF(BB9&lt;74.5,"FAILED","PASSED")</f>
        <v>PASSED</v>
      </c>
    </row>
    <row r="10" spans="1:55" ht="19.2" thickTop="1" thickBot="1" x14ac:dyDescent="0.35">
      <c r="A10" s="19">
        <f>Attendance!A8</f>
        <v>1</v>
      </c>
      <c r="B10" s="71" t="s">
        <v>28</v>
      </c>
      <c r="C10" s="128">
        <f>Attendance!AB8</f>
        <v>3</v>
      </c>
      <c r="D10" s="181">
        <f>C10/3*50+50</f>
        <v>100</v>
      </c>
      <c r="E10" s="182">
        <f t="shared" ref="E10:E52" si="0">D10*0.05</f>
        <v>5</v>
      </c>
      <c r="F10" s="25">
        <v>35</v>
      </c>
      <c r="G10" s="26"/>
      <c r="H10" s="102"/>
      <c r="I10" s="24">
        <f>SUM(F10:H10)</f>
        <v>35</v>
      </c>
      <c r="J10" s="151">
        <f t="shared" ref="J10:J52" si="1">(I10/SUM($F$9:$H$9))*50+50</f>
        <v>85</v>
      </c>
      <c r="K10" s="182">
        <f t="shared" ref="K10:K52" si="2">J10*0.15</f>
        <v>12.75</v>
      </c>
      <c r="L10" s="25">
        <v>10</v>
      </c>
      <c r="M10" s="26">
        <v>5</v>
      </c>
      <c r="N10" s="26">
        <v>6</v>
      </c>
      <c r="O10" s="102"/>
      <c r="P10" s="24">
        <f t="shared" ref="P10:P52" si="3">SUM(L10:O10)</f>
        <v>21</v>
      </c>
      <c r="Q10" s="151">
        <f t="shared" ref="Q10:Q52" si="4">(P10/SUM($L$9:$O$9))*50+50</f>
        <v>76.25</v>
      </c>
      <c r="R10" s="182">
        <f t="shared" ref="R10:R52" si="5">Q10*0.3</f>
        <v>22.875</v>
      </c>
      <c r="S10" s="105">
        <v>45</v>
      </c>
      <c r="T10" s="151">
        <f t="shared" ref="T10:T52" si="6">S10/($S$9)*50+50</f>
        <v>78.125</v>
      </c>
      <c r="U10" s="182">
        <f t="shared" ref="U10:U52" si="7">T10*0.5</f>
        <v>39.0625</v>
      </c>
      <c r="V10" s="131">
        <f t="shared" ref="V10:V52" si="8">SUM(U10,R10,K10,E10)</f>
        <v>79.6875</v>
      </c>
      <c r="W10" s="27" t="str">
        <f>IF(V10&lt;74.5,"FAILED","PASSED")</f>
        <v>PASSED</v>
      </c>
      <c r="Z10" s="34">
        <v>3</v>
      </c>
      <c r="AA10" s="35">
        <v>3</v>
      </c>
      <c r="AB10" s="35">
        <v>3</v>
      </c>
      <c r="AC10" s="35"/>
      <c r="AD10" s="35"/>
      <c r="AE10" s="107"/>
      <c r="AF10" s="113">
        <f t="shared" ref="AF10:AF52" si="9">SUM(Z10:AE10)</f>
        <v>9</v>
      </c>
      <c r="AG10" s="179">
        <f t="shared" ref="AG10:AG52" si="10">(AF10/SUM($Z$9:$AE$9))*50+50</f>
        <v>100</v>
      </c>
      <c r="AH10" s="184">
        <f t="shared" ref="AH10:AH52" si="11">AG10*0.1</f>
        <v>10</v>
      </c>
      <c r="AI10" s="34">
        <v>95</v>
      </c>
      <c r="AJ10" s="35">
        <v>90</v>
      </c>
      <c r="AK10" s="35">
        <v>90</v>
      </c>
      <c r="AL10" s="35"/>
      <c r="AM10" s="35"/>
      <c r="AN10" s="107"/>
      <c r="AO10" s="113">
        <f t="shared" ref="AO10:AO52" si="12">SUM(AI10:AN10)</f>
        <v>275</v>
      </c>
      <c r="AP10" s="179">
        <f t="shared" ref="AP10:AP52" si="13">(AO10/SUM($AI$9:$AN$9))*50+50</f>
        <v>95.833333333333329</v>
      </c>
      <c r="AQ10" s="184">
        <f t="shared" ref="AQ10:AQ52" si="14">AP10*0.4</f>
        <v>38.333333333333336</v>
      </c>
      <c r="AR10" s="36">
        <v>80</v>
      </c>
      <c r="AS10" s="107"/>
      <c r="AT10" s="113">
        <f t="shared" ref="AT10:AT52" si="15">SUM(AR10:AS10)</f>
        <v>80</v>
      </c>
      <c r="AU10" s="179">
        <f t="shared" ref="AU10:AU52" si="16">(AT10/SUM($AR$9:$AS$9))*50+50</f>
        <v>90</v>
      </c>
      <c r="AV10" s="184">
        <f t="shared" ref="AV10:AV52" si="17">AU10*0.5</f>
        <v>45</v>
      </c>
      <c r="AW10" s="139">
        <f>SUM(AV10,AQ10,AH10)</f>
        <v>93.333333333333343</v>
      </c>
      <c r="AX10" s="113" t="str">
        <f>IF(AW10&lt;74.5, "FAILED", "PASSED")</f>
        <v>PASSED</v>
      </c>
      <c r="AZ10" s="151">
        <f t="shared" ref="AZ10:AZ52" si="18">V10*0.6</f>
        <v>47.8125</v>
      </c>
      <c r="BA10" s="151">
        <f t="shared" ref="BA10:BA52" si="19">AW10*0.4</f>
        <v>37.333333333333336</v>
      </c>
      <c r="BB10" s="151">
        <f t="shared" ref="BB10:BB52" si="20">SUM(AZ10:BA10)</f>
        <v>85.145833333333343</v>
      </c>
      <c r="BC10" s="24" t="str">
        <f t="shared" ref="BC10:BC52" si="21">IF(BB10&lt;74.5,"FAILED","PASSED")</f>
        <v>PASSED</v>
      </c>
    </row>
    <row r="11" spans="1:55" ht="19.2" thickTop="1" thickBot="1" x14ac:dyDescent="0.35">
      <c r="A11" s="19">
        <f>Attendance!A9</f>
        <v>2</v>
      </c>
      <c r="B11" s="71" t="s">
        <v>29</v>
      </c>
      <c r="C11" s="128">
        <f>Attendance!AB9</f>
        <v>3</v>
      </c>
      <c r="D11" s="181">
        <f t="shared" ref="D11:D54" si="22">C11/3*50+50</f>
        <v>100</v>
      </c>
      <c r="E11" s="182">
        <f t="shared" si="0"/>
        <v>5</v>
      </c>
      <c r="F11" s="25">
        <v>35</v>
      </c>
      <c r="G11" s="29"/>
      <c r="H11" s="103"/>
      <c r="I11" s="24">
        <f t="shared" ref="I11:I52" si="23">SUM(F11:H11)</f>
        <v>35</v>
      </c>
      <c r="J11" s="151">
        <f t="shared" si="1"/>
        <v>85</v>
      </c>
      <c r="K11" s="182">
        <f t="shared" si="2"/>
        <v>12.75</v>
      </c>
      <c r="L11" s="28">
        <v>10</v>
      </c>
      <c r="M11" s="29">
        <v>9</v>
      </c>
      <c r="N11" s="29">
        <v>7</v>
      </c>
      <c r="O11" s="103"/>
      <c r="P11" s="24">
        <f t="shared" si="3"/>
        <v>26</v>
      </c>
      <c r="Q11" s="151">
        <f t="shared" si="4"/>
        <v>82.5</v>
      </c>
      <c r="R11" s="182">
        <f t="shared" si="5"/>
        <v>24.75</v>
      </c>
      <c r="S11" s="106">
        <v>34</v>
      </c>
      <c r="T11" s="151">
        <f t="shared" si="6"/>
        <v>71.25</v>
      </c>
      <c r="U11" s="182">
        <f t="shared" si="7"/>
        <v>35.625</v>
      </c>
      <c r="V11" s="131">
        <f t="shared" si="8"/>
        <v>78.125</v>
      </c>
      <c r="W11" s="27" t="str">
        <f t="shared" ref="W11:W52" si="24">IF(V11&lt;74.5,"FAILED","PASSED")</f>
        <v>PASSED</v>
      </c>
      <c r="Z11" s="37">
        <v>0</v>
      </c>
      <c r="AA11" s="19">
        <v>0</v>
      </c>
      <c r="AB11" s="19">
        <v>0</v>
      </c>
      <c r="AC11" s="19"/>
      <c r="AD11" s="19"/>
      <c r="AE11" s="108"/>
      <c r="AF11" s="113">
        <f t="shared" si="9"/>
        <v>0</v>
      </c>
      <c r="AG11" s="179">
        <f t="shared" si="10"/>
        <v>50</v>
      </c>
      <c r="AH11" s="184">
        <f t="shared" si="11"/>
        <v>5</v>
      </c>
      <c r="AI11" s="37">
        <v>0</v>
      </c>
      <c r="AJ11" s="19">
        <v>0</v>
      </c>
      <c r="AK11" s="19">
        <v>0</v>
      </c>
      <c r="AL11" s="19"/>
      <c r="AM11" s="19"/>
      <c r="AN11" s="108"/>
      <c r="AO11" s="113">
        <f t="shared" si="12"/>
        <v>0</v>
      </c>
      <c r="AP11" s="179">
        <f t="shared" si="13"/>
        <v>50</v>
      </c>
      <c r="AQ11" s="184">
        <f t="shared" si="14"/>
        <v>20</v>
      </c>
      <c r="AR11" s="36">
        <v>80</v>
      </c>
      <c r="AS11" s="108"/>
      <c r="AT11" s="113">
        <f t="shared" si="15"/>
        <v>80</v>
      </c>
      <c r="AU11" s="179">
        <f t="shared" si="16"/>
        <v>90</v>
      </c>
      <c r="AV11" s="184">
        <f t="shared" si="17"/>
        <v>45</v>
      </c>
      <c r="AW11" s="139">
        <f t="shared" ref="AW11:AW52" si="25">SUM(AV11,AQ11,AH11)</f>
        <v>70</v>
      </c>
      <c r="AX11" s="113" t="str">
        <f t="shared" ref="AX11:AX52" si="26">IF(AW11&lt;74.5, "FAILED", "PASSED")</f>
        <v>FAILED</v>
      </c>
      <c r="AZ11" s="151">
        <f t="shared" si="18"/>
        <v>46.875</v>
      </c>
      <c r="BA11" s="151">
        <f t="shared" si="19"/>
        <v>28</v>
      </c>
      <c r="BB11" s="151">
        <f t="shared" si="20"/>
        <v>74.875</v>
      </c>
      <c r="BC11" s="24" t="str">
        <f t="shared" si="21"/>
        <v>PASSED</v>
      </c>
    </row>
    <row r="12" spans="1:55" ht="19.2" thickTop="1" thickBot="1" x14ac:dyDescent="0.35">
      <c r="A12" s="19">
        <f>Attendance!A10</f>
        <v>3</v>
      </c>
      <c r="B12" s="71" t="s">
        <v>30</v>
      </c>
      <c r="C12" s="128">
        <f>Attendance!AB10</f>
        <v>3</v>
      </c>
      <c r="D12" s="181">
        <f t="shared" si="22"/>
        <v>100</v>
      </c>
      <c r="E12" s="182">
        <f t="shared" si="0"/>
        <v>5</v>
      </c>
      <c r="F12" s="25">
        <v>35</v>
      </c>
      <c r="G12" s="29"/>
      <c r="H12" s="103"/>
      <c r="I12" s="24">
        <f t="shared" si="23"/>
        <v>35</v>
      </c>
      <c r="J12" s="151">
        <f t="shared" si="1"/>
        <v>85</v>
      </c>
      <c r="K12" s="182">
        <f t="shared" si="2"/>
        <v>12.75</v>
      </c>
      <c r="L12" s="28">
        <v>8</v>
      </c>
      <c r="M12" s="29">
        <v>7</v>
      </c>
      <c r="N12" s="29">
        <v>6</v>
      </c>
      <c r="O12" s="103"/>
      <c r="P12" s="24">
        <f t="shared" si="3"/>
        <v>21</v>
      </c>
      <c r="Q12" s="151">
        <f t="shared" si="4"/>
        <v>76.25</v>
      </c>
      <c r="R12" s="182">
        <f t="shared" si="5"/>
        <v>22.875</v>
      </c>
      <c r="S12" s="106">
        <v>43</v>
      </c>
      <c r="T12" s="151">
        <f t="shared" si="6"/>
        <v>76.875</v>
      </c>
      <c r="U12" s="182">
        <f t="shared" si="7"/>
        <v>38.4375</v>
      </c>
      <c r="V12" s="131">
        <f t="shared" si="8"/>
        <v>79.0625</v>
      </c>
      <c r="W12" s="27" t="str">
        <f t="shared" si="24"/>
        <v>PASSED</v>
      </c>
      <c r="Z12" s="37">
        <v>3</v>
      </c>
      <c r="AA12" s="19">
        <v>3</v>
      </c>
      <c r="AB12" s="19">
        <v>3</v>
      </c>
      <c r="AC12" s="19"/>
      <c r="AD12" s="19"/>
      <c r="AE12" s="108"/>
      <c r="AF12" s="113">
        <f t="shared" si="9"/>
        <v>9</v>
      </c>
      <c r="AG12" s="179">
        <f t="shared" si="10"/>
        <v>100</v>
      </c>
      <c r="AH12" s="184">
        <f t="shared" si="11"/>
        <v>10</v>
      </c>
      <c r="AI12" s="37">
        <v>75</v>
      </c>
      <c r="AJ12" s="19">
        <v>80</v>
      </c>
      <c r="AK12" s="19">
        <v>85</v>
      </c>
      <c r="AL12" s="19"/>
      <c r="AM12" s="19"/>
      <c r="AN12" s="108"/>
      <c r="AO12" s="113">
        <f t="shared" si="12"/>
        <v>240</v>
      </c>
      <c r="AP12" s="179">
        <f t="shared" si="13"/>
        <v>90</v>
      </c>
      <c r="AQ12" s="184">
        <f t="shared" si="14"/>
        <v>36</v>
      </c>
      <c r="AR12" s="36">
        <v>80</v>
      </c>
      <c r="AS12" s="108"/>
      <c r="AT12" s="113">
        <f t="shared" si="15"/>
        <v>80</v>
      </c>
      <c r="AU12" s="179">
        <f t="shared" si="16"/>
        <v>90</v>
      </c>
      <c r="AV12" s="184">
        <f t="shared" si="17"/>
        <v>45</v>
      </c>
      <c r="AW12" s="139">
        <f t="shared" si="25"/>
        <v>91</v>
      </c>
      <c r="AX12" s="113" t="str">
        <f t="shared" si="26"/>
        <v>PASSED</v>
      </c>
      <c r="AZ12" s="151">
        <f t="shared" si="18"/>
        <v>47.4375</v>
      </c>
      <c r="BA12" s="151">
        <f t="shared" si="19"/>
        <v>36.4</v>
      </c>
      <c r="BB12" s="151">
        <f t="shared" si="20"/>
        <v>83.837500000000006</v>
      </c>
      <c r="BC12" s="24" t="str">
        <f t="shared" si="21"/>
        <v>PASSED</v>
      </c>
    </row>
    <row r="13" spans="1:55" ht="19.2" thickTop="1" thickBot="1" x14ac:dyDescent="0.35">
      <c r="A13" s="19">
        <f>Attendance!A11</f>
        <v>4</v>
      </c>
      <c r="B13" s="71" t="s">
        <v>31</v>
      </c>
      <c r="C13" s="128">
        <f>Attendance!AB11</f>
        <v>3</v>
      </c>
      <c r="D13" s="181">
        <f t="shared" si="22"/>
        <v>100</v>
      </c>
      <c r="E13" s="182">
        <f t="shared" si="0"/>
        <v>5</v>
      </c>
      <c r="F13" s="25">
        <v>35</v>
      </c>
      <c r="G13" s="29"/>
      <c r="H13" s="103"/>
      <c r="I13" s="24">
        <f t="shared" si="23"/>
        <v>35</v>
      </c>
      <c r="J13" s="151">
        <f t="shared" si="1"/>
        <v>85</v>
      </c>
      <c r="K13" s="182">
        <f t="shared" si="2"/>
        <v>12.75</v>
      </c>
      <c r="L13" s="28">
        <v>3</v>
      </c>
      <c r="M13" s="29">
        <v>2</v>
      </c>
      <c r="N13" s="29">
        <v>1</v>
      </c>
      <c r="O13" s="103"/>
      <c r="P13" s="24">
        <f t="shared" si="3"/>
        <v>6</v>
      </c>
      <c r="Q13" s="151">
        <f t="shared" si="4"/>
        <v>57.5</v>
      </c>
      <c r="R13" s="182">
        <f t="shared" si="5"/>
        <v>17.25</v>
      </c>
      <c r="S13" s="106">
        <v>26</v>
      </c>
      <c r="T13" s="151">
        <f t="shared" si="6"/>
        <v>66.25</v>
      </c>
      <c r="U13" s="182">
        <f t="shared" si="7"/>
        <v>33.125</v>
      </c>
      <c r="V13" s="131">
        <f t="shared" si="8"/>
        <v>68.125</v>
      </c>
      <c r="W13" s="27" t="str">
        <f t="shared" si="24"/>
        <v>FAILED</v>
      </c>
      <c r="Z13" s="37">
        <v>0</v>
      </c>
      <c r="AA13" s="19">
        <v>0</v>
      </c>
      <c r="AB13" s="19">
        <v>0</v>
      </c>
      <c r="AC13" s="19"/>
      <c r="AD13" s="19"/>
      <c r="AE13" s="108"/>
      <c r="AF13" s="113">
        <f t="shared" si="9"/>
        <v>0</v>
      </c>
      <c r="AG13" s="179">
        <f t="shared" si="10"/>
        <v>50</v>
      </c>
      <c r="AH13" s="184">
        <f t="shared" si="11"/>
        <v>5</v>
      </c>
      <c r="AI13" s="37">
        <v>0</v>
      </c>
      <c r="AJ13" s="19">
        <v>0</v>
      </c>
      <c r="AK13" s="19">
        <v>0</v>
      </c>
      <c r="AL13" s="19"/>
      <c r="AM13" s="19"/>
      <c r="AN13" s="108"/>
      <c r="AO13" s="113">
        <f t="shared" si="12"/>
        <v>0</v>
      </c>
      <c r="AP13" s="179">
        <f t="shared" si="13"/>
        <v>50</v>
      </c>
      <c r="AQ13" s="184">
        <f t="shared" si="14"/>
        <v>20</v>
      </c>
      <c r="AR13" s="36">
        <v>80</v>
      </c>
      <c r="AS13" s="108"/>
      <c r="AT13" s="113">
        <f t="shared" si="15"/>
        <v>80</v>
      </c>
      <c r="AU13" s="179">
        <f t="shared" si="16"/>
        <v>90</v>
      </c>
      <c r="AV13" s="184">
        <f t="shared" si="17"/>
        <v>45</v>
      </c>
      <c r="AW13" s="139">
        <f t="shared" si="25"/>
        <v>70</v>
      </c>
      <c r="AX13" s="113" t="str">
        <f t="shared" si="26"/>
        <v>FAILED</v>
      </c>
      <c r="AZ13" s="151">
        <f t="shared" si="18"/>
        <v>40.875</v>
      </c>
      <c r="BA13" s="151">
        <f t="shared" si="19"/>
        <v>28</v>
      </c>
      <c r="BB13" s="151">
        <f t="shared" si="20"/>
        <v>68.875</v>
      </c>
      <c r="BC13" s="24" t="str">
        <f t="shared" si="21"/>
        <v>FAILED</v>
      </c>
    </row>
    <row r="14" spans="1:55" ht="19.2" thickTop="1" thickBot="1" x14ac:dyDescent="0.35">
      <c r="A14" s="19">
        <f>Attendance!A12</f>
        <v>5</v>
      </c>
      <c r="B14" s="71" t="s">
        <v>32</v>
      </c>
      <c r="C14" s="128">
        <f>Attendance!AB12</f>
        <v>0</v>
      </c>
      <c r="D14" s="181">
        <f t="shared" si="22"/>
        <v>50</v>
      </c>
      <c r="E14" s="182">
        <f t="shared" si="0"/>
        <v>2.5</v>
      </c>
      <c r="F14" s="25">
        <v>35</v>
      </c>
      <c r="G14" s="29"/>
      <c r="H14" s="103"/>
      <c r="I14" s="24">
        <f t="shared" si="23"/>
        <v>35</v>
      </c>
      <c r="J14" s="151">
        <f t="shared" si="1"/>
        <v>85</v>
      </c>
      <c r="K14" s="182">
        <f t="shared" si="2"/>
        <v>12.75</v>
      </c>
      <c r="L14" s="28">
        <v>0</v>
      </c>
      <c r="M14" s="29">
        <v>0</v>
      </c>
      <c r="N14" s="29">
        <v>0</v>
      </c>
      <c r="O14" s="103"/>
      <c r="P14" s="24">
        <f t="shared" si="3"/>
        <v>0</v>
      </c>
      <c r="Q14" s="151">
        <f t="shared" si="4"/>
        <v>50</v>
      </c>
      <c r="R14" s="182">
        <f t="shared" si="5"/>
        <v>15</v>
      </c>
      <c r="S14" s="106">
        <v>29</v>
      </c>
      <c r="T14" s="151">
        <f t="shared" si="6"/>
        <v>68.125</v>
      </c>
      <c r="U14" s="182">
        <f t="shared" si="7"/>
        <v>34.0625</v>
      </c>
      <c r="V14" s="131">
        <f t="shared" si="8"/>
        <v>64.3125</v>
      </c>
      <c r="W14" s="27" t="str">
        <f t="shared" si="24"/>
        <v>FAILED</v>
      </c>
      <c r="Z14" s="37">
        <v>0</v>
      </c>
      <c r="AA14" s="19">
        <v>0</v>
      </c>
      <c r="AB14" s="19">
        <v>0</v>
      </c>
      <c r="AC14" s="19"/>
      <c r="AD14" s="19"/>
      <c r="AE14" s="108"/>
      <c r="AF14" s="113">
        <f t="shared" si="9"/>
        <v>0</v>
      </c>
      <c r="AG14" s="179">
        <f t="shared" si="10"/>
        <v>50</v>
      </c>
      <c r="AH14" s="184">
        <f t="shared" si="11"/>
        <v>5</v>
      </c>
      <c r="AI14" s="37">
        <v>0</v>
      </c>
      <c r="AJ14" s="19">
        <v>0</v>
      </c>
      <c r="AK14" s="19">
        <v>0</v>
      </c>
      <c r="AL14" s="19"/>
      <c r="AM14" s="19"/>
      <c r="AN14" s="108"/>
      <c r="AO14" s="113">
        <f t="shared" si="12"/>
        <v>0</v>
      </c>
      <c r="AP14" s="179">
        <f t="shared" si="13"/>
        <v>50</v>
      </c>
      <c r="AQ14" s="184">
        <f t="shared" si="14"/>
        <v>20</v>
      </c>
      <c r="AR14" s="36">
        <v>80</v>
      </c>
      <c r="AS14" s="108"/>
      <c r="AT14" s="113">
        <f t="shared" si="15"/>
        <v>80</v>
      </c>
      <c r="AU14" s="179">
        <f t="shared" si="16"/>
        <v>90</v>
      </c>
      <c r="AV14" s="184">
        <f t="shared" si="17"/>
        <v>45</v>
      </c>
      <c r="AW14" s="139">
        <f t="shared" si="25"/>
        <v>70</v>
      </c>
      <c r="AX14" s="113" t="str">
        <f t="shared" si="26"/>
        <v>FAILED</v>
      </c>
      <c r="AZ14" s="151">
        <f t="shared" si="18"/>
        <v>38.587499999999999</v>
      </c>
      <c r="BA14" s="151">
        <f t="shared" si="19"/>
        <v>28</v>
      </c>
      <c r="BB14" s="151">
        <f t="shared" si="20"/>
        <v>66.587500000000006</v>
      </c>
      <c r="BC14" s="24" t="str">
        <f t="shared" si="21"/>
        <v>FAILED</v>
      </c>
    </row>
    <row r="15" spans="1:55" ht="19.2" thickTop="1" thickBot="1" x14ac:dyDescent="0.35">
      <c r="A15" s="19">
        <f>Attendance!A13</f>
        <v>6</v>
      </c>
      <c r="B15" s="71" t="s">
        <v>33</v>
      </c>
      <c r="C15" s="128">
        <f>Attendance!AB13</f>
        <v>3</v>
      </c>
      <c r="D15" s="181">
        <f t="shared" si="22"/>
        <v>100</v>
      </c>
      <c r="E15" s="182">
        <f t="shared" si="0"/>
        <v>5</v>
      </c>
      <c r="F15" s="25">
        <v>35</v>
      </c>
      <c r="G15" s="29"/>
      <c r="H15" s="103"/>
      <c r="I15" s="24">
        <f t="shared" si="23"/>
        <v>35</v>
      </c>
      <c r="J15" s="151">
        <f t="shared" si="1"/>
        <v>85</v>
      </c>
      <c r="K15" s="182">
        <f t="shared" si="2"/>
        <v>12.75</v>
      </c>
      <c r="L15" s="28">
        <v>10</v>
      </c>
      <c r="M15" s="29">
        <v>11</v>
      </c>
      <c r="N15" s="29">
        <v>8</v>
      </c>
      <c r="O15" s="103"/>
      <c r="P15" s="24">
        <f t="shared" si="3"/>
        <v>29</v>
      </c>
      <c r="Q15" s="151">
        <f t="shared" si="4"/>
        <v>86.25</v>
      </c>
      <c r="R15" s="182">
        <f t="shared" si="5"/>
        <v>25.875</v>
      </c>
      <c r="S15" s="106">
        <v>35</v>
      </c>
      <c r="T15" s="151">
        <f t="shared" si="6"/>
        <v>71.875</v>
      </c>
      <c r="U15" s="182">
        <f t="shared" si="7"/>
        <v>35.9375</v>
      </c>
      <c r="V15" s="131">
        <f t="shared" si="8"/>
        <v>79.5625</v>
      </c>
      <c r="W15" s="27" t="str">
        <f t="shared" si="24"/>
        <v>PASSED</v>
      </c>
      <c r="Z15" s="37">
        <v>3</v>
      </c>
      <c r="AA15" s="19">
        <v>3</v>
      </c>
      <c r="AB15" s="19">
        <v>3</v>
      </c>
      <c r="AC15" s="19"/>
      <c r="AD15" s="19"/>
      <c r="AE15" s="108"/>
      <c r="AF15" s="113">
        <f t="shared" si="9"/>
        <v>9</v>
      </c>
      <c r="AG15" s="179">
        <f t="shared" si="10"/>
        <v>100</v>
      </c>
      <c r="AH15" s="184">
        <f t="shared" si="11"/>
        <v>10</v>
      </c>
      <c r="AI15" s="37">
        <v>95</v>
      </c>
      <c r="AJ15" s="19">
        <v>98</v>
      </c>
      <c r="AK15" s="19">
        <v>90</v>
      </c>
      <c r="AL15" s="19"/>
      <c r="AM15" s="19"/>
      <c r="AN15" s="108"/>
      <c r="AO15" s="113">
        <f t="shared" si="12"/>
        <v>283</v>
      </c>
      <c r="AP15" s="179">
        <f t="shared" si="13"/>
        <v>97.166666666666671</v>
      </c>
      <c r="AQ15" s="184">
        <f t="shared" si="14"/>
        <v>38.866666666666674</v>
      </c>
      <c r="AR15" s="36">
        <v>80</v>
      </c>
      <c r="AS15" s="108"/>
      <c r="AT15" s="113">
        <f t="shared" si="15"/>
        <v>80</v>
      </c>
      <c r="AU15" s="179">
        <f t="shared" si="16"/>
        <v>90</v>
      </c>
      <c r="AV15" s="184">
        <f t="shared" si="17"/>
        <v>45</v>
      </c>
      <c r="AW15" s="139">
        <f t="shared" si="25"/>
        <v>93.866666666666674</v>
      </c>
      <c r="AX15" s="113" t="str">
        <f t="shared" si="26"/>
        <v>PASSED</v>
      </c>
      <c r="AZ15" s="151">
        <f t="shared" si="18"/>
        <v>47.737499999999997</v>
      </c>
      <c r="BA15" s="151">
        <f t="shared" si="19"/>
        <v>37.546666666666674</v>
      </c>
      <c r="BB15" s="151">
        <f t="shared" si="20"/>
        <v>85.284166666666664</v>
      </c>
      <c r="BC15" s="24" t="str">
        <f t="shared" si="21"/>
        <v>PASSED</v>
      </c>
    </row>
    <row r="16" spans="1:55" ht="19.2" thickTop="1" thickBot="1" x14ac:dyDescent="0.35">
      <c r="A16" s="19">
        <f>Attendance!A14</f>
        <v>7</v>
      </c>
      <c r="B16" s="71" t="s">
        <v>34</v>
      </c>
      <c r="C16" s="128">
        <f>Attendance!AB14</f>
        <v>0</v>
      </c>
      <c r="D16" s="181">
        <f t="shared" si="22"/>
        <v>50</v>
      </c>
      <c r="E16" s="182">
        <f t="shared" si="0"/>
        <v>2.5</v>
      </c>
      <c r="F16" s="25">
        <v>35</v>
      </c>
      <c r="G16" s="29"/>
      <c r="H16" s="103"/>
      <c r="I16" s="24">
        <f t="shared" si="23"/>
        <v>35</v>
      </c>
      <c r="J16" s="151">
        <f t="shared" si="1"/>
        <v>85</v>
      </c>
      <c r="K16" s="182">
        <f t="shared" si="2"/>
        <v>12.75</v>
      </c>
      <c r="L16" s="28">
        <v>0</v>
      </c>
      <c r="M16" s="29">
        <v>0</v>
      </c>
      <c r="N16" s="29">
        <v>0</v>
      </c>
      <c r="O16" s="103"/>
      <c r="P16" s="24">
        <f t="shared" si="3"/>
        <v>0</v>
      </c>
      <c r="Q16" s="151">
        <f t="shared" si="4"/>
        <v>50</v>
      </c>
      <c r="R16" s="182">
        <f t="shared" si="5"/>
        <v>15</v>
      </c>
      <c r="S16" s="106">
        <v>47</v>
      </c>
      <c r="T16" s="151">
        <f t="shared" si="6"/>
        <v>79.375</v>
      </c>
      <c r="U16" s="182">
        <f t="shared" si="7"/>
        <v>39.6875</v>
      </c>
      <c r="V16" s="131">
        <f t="shared" si="8"/>
        <v>69.9375</v>
      </c>
      <c r="W16" s="27" t="str">
        <f t="shared" si="24"/>
        <v>FAILED</v>
      </c>
      <c r="Z16" s="37">
        <v>3</v>
      </c>
      <c r="AA16" s="19">
        <v>3</v>
      </c>
      <c r="AB16" s="19">
        <v>3</v>
      </c>
      <c r="AC16" s="19"/>
      <c r="AD16" s="19"/>
      <c r="AE16" s="108"/>
      <c r="AF16" s="113">
        <f t="shared" si="9"/>
        <v>9</v>
      </c>
      <c r="AG16" s="179">
        <f t="shared" si="10"/>
        <v>100</v>
      </c>
      <c r="AH16" s="184">
        <f t="shared" si="11"/>
        <v>10</v>
      </c>
      <c r="AI16" s="37">
        <v>95</v>
      </c>
      <c r="AJ16" s="19">
        <v>95</v>
      </c>
      <c r="AK16" s="19">
        <v>90</v>
      </c>
      <c r="AL16" s="19"/>
      <c r="AM16" s="19"/>
      <c r="AN16" s="108"/>
      <c r="AO16" s="113">
        <f t="shared" si="12"/>
        <v>280</v>
      </c>
      <c r="AP16" s="179">
        <f t="shared" si="13"/>
        <v>96.666666666666657</v>
      </c>
      <c r="AQ16" s="184">
        <f t="shared" si="14"/>
        <v>38.666666666666664</v>
      </c>
      <c r="AR16" s="36">
        <v>80</v>
      </c>
      <c r="AS16" s="108"/>
      <c r="AT16" s="113">
        <f t="shared" si="15"/>
        <v>80</v>
      </c>
      <c r="AU16" s="179">
        <f t="shared" si="16"/>
        <v>90</v>
      </c>
      <c r="AV16" s="184">
        <f t="shared" si="17"/>
        <v>45</v>
      </c>
      <c r="AW16" s="139">
        <f t="shared" si="25"/>
        <v>93.666666666666657</v>
      </c>
      <c r="AX16" s="113" t="str">
        <f t="shared" si="26"/>
        <v>PASSED</v>
      </c>
      <c r="AZ16" s="151">
        <f t="shared" si="18"/>
        <v>41.962499999999999</v>
      </c>
      <c r="BA16" s="151">
        <f t="shared" si="19"/>
        <v>37.466666666666661</v>
      </c>
      <c r="BB16" s="151">
        <f t="shared" si="20"/>
        <v>79.42916666666666</v>
      </c>
      <c r="BC16" s="24" t="str">
        <f t="shared" si="21"/>
        <v>PASSED</v>
      </c>
    </row>
    <row r="17" spans="1:55" ht="19.2" thickTop="1" thickBot="1" x14ac:dyDescent="0.35">
      <c r="A17" s="19">
        <f>Attendance!A15</f>
        <v>8</v>
      </c>
      <c r="B17" s="71" t="s">
        <v>35</v>
      </c>
      <c r="C17" s="128">
        <f>Attendance!AB15</f>
        <v>3</v>
      </c>
      <c r="D17" s="181">
        <f t="shared" si="22"/>
        <v>100</v>
      </c>
      <c r="E17" s="182">
        <f t="shared" si="0"/>
        <v>5</v>
      </c>
      <c r="F17" s="25">
        <v>35</v>
      </c>
      <c r="G17" s="29"/>
      <c r="H17" s="103"/>
      <c r="I17" s="24">
        <f t="shared" si="23"/>
        <v>35</v>
      </c>
      <c r="J17" s="151">
        <f t="shared" si="1"/>
        <v>85</v>
      </c>
      <c r="K17" s="182">
        <f t="shared" si="2"/>
        <v>12.75</v>
      </c>
      <c r="L17" s="28">
        <v>11</v>
      </c>
      <c r="M17" s="29">
        <v>11</v>
      </c>
      <c r="N17" s="29">
        <v>7</v>
      </c>
      <c r="O17" s="103"/>
      <c r="P17" s="24">
        <f t="shared" si="3"/>
        <v>29</v>
      </c>
      <c r="Q17" s="151">
        <f t="shared" si="4"/>
        <v>86.25</v>
      </c>
      <c r="R17" s="182">
        <f t="shared" si="5"/>
        <v>25.875</v>
      </c>
      <c r="S17" s="106">
        <v>61</v>
      </c>
      <c r="T17" s="151">
        <f t="shared" si="6"/>
        <v>88.125</v>
      </c>
      <c r="U17" s="182">
        <f t="shared" si="7"/>
        <v>44.0625</v>
      </c>
      <c r="V17" s="131">
        <f t="shared" si="8"/>
        <v>87.6875</v>
      </c>
      <c r="W17" s="27" t="str">
        <f t="shared" si="24"/>
        <v>PASSED</v>
      </c>
      <c r="Z17" s="37">
        <v>0</v>
      </c>
      <c r="AA17" s="19">
        <v>0</v>
      </c>
      <c r="AB17" s="19">
        <v>0</v>
      </c>
      <c r="AC17" s="19"/>
      <c r="AD17" s="19"/>
      <c r="AE17" s="108"/>
      <c r="AF17" s="113">
        <f t="shared" si="9"/>
        <v>0</v>
      </c>
      <c r="AG17" s="179">
        <f t="shared" si="10"/>
        <v>50</v>
      </c>
      <c r="AH17" s="184">
        <f t="shared" si="11"/>
        <v>5</v>
      </c>
      <c r="AI17" s="37">
        <v>0</v>
      </c>
      <c r="AJ17" s="19">
        <v>0</v>
      </c>
      <c r="AK17" s="19">
        <v>0</v>
      </c>
      <c r="AL17" s="19"/>
      <c r="AM17" s="19"/>
      <c r="AN17" s="108"/>
      <c r="AO17" s="113">
        <f t="shared" si="12"/>
        <v>0</v>
      </c>
      <c r="AP17" s="179">
        <f t="shared" si="13"/>
        <v>50</v>
      </c>
      <c r="AQ17" s="184">
        <f t="shared" si="14"/>
        <v>20</v>
      </c>
      <c r="AR17" s="36">
        <v>80</v>
      </c>
      <c r="AS17" s="108"/>
      <c r="AT17" s="113">
        <f t="shared" si="15"/>
        <v>80</v>
      </c>
      <c r="AU17" s="179">
        <f t="shared" si="16"/>
        <v>90</v>
      </c>
      <c r="AV17" s="184">
        <f t="shared" si="17"/>
        <v>45</v>
      </c>
      <c r="AW17" s="139">
        <f t="shared" si="25"/>
        <v>70</v>
      </c>
      <c r="AX17" s="113" t="str">
        <f t="shared" si="26"/>
        <v>FAILED</v>
      </c>
      <c r="AZ17" s="151">
        <f t="shared" si="18"/>
        <v>52.612499999999997</v>
      </c>
      <c r="BA17" s="151">
        <f t="shared" si="19"/>
        <v>28</v>
      </c>
      <c r="BB17" s="151">
        <f t="shared" si="20"/>
        <v>80.612499999999997</v>
      </c>
      <c r="BC17" s="24" t="str">
        <f t="shared" si="21"/>
        <v>PASSED</v>
      </c>
    </row>
    <row r="18" spans="1:55" ht="19.2" thickTop="1" thickBot="1" x14ac:dyDescent="0.35">
      <c r="A18" s="19">
        <f>Attendance!A16</f>
        <v>9</v>
      </c>
      <c r="B18" s="71" t="s">
        <v>36</v>
      </c>
      <c r="C18" s="128">
        <f>Attendance!AB16</f>
        <v>3</v>
      </c>
      <c r="D18" s="181">
        <f t="shared" si="22"/>
        <v>100</v>
      </c>
      <c r="E18" s="182">
        <f t="shared" si="0"/>
        <v>5</v>
      </c>
      <c r="F18" s="25">
        <v>35</v>
      </c>
      <c r="G18" s="29"/>
      <c r="H18" s="103"/>
      <c r="I18" s="24">
        <f t="shared" si="23"/>
        <v>35</v>
      </c>
      <c r="J18" s="151">
        <f t="shared" si="1"/>
        <v>85</v>
      </c>
      <c r="K18" s="182">
        <f t="shared" si="2"/>
        <v>12.75</v>
      </c>
      <c r="L18" s="28">
        <v>8</v>
      </c>
      <c r="M18" s="29">
        <v>11</v>
      </c>
      <c r="N18" s="29">
        <v>8</v>
      </c>
      <c r="O18" s="103"/>
      <c r="P18" s="24">
        <f t="shared" si="3"/>
        <v>27</v>
      </c>
      <c r="Q18" s="151">
        <f t="shared" si="4"/>
        <v>83.75</v>
      </c>
      <c r="R18" s="182">
        <f t="shared" si="5"/>
        <v>25.125</v>
      </c>
      <c r="S18" s="106">
        <v>46</v>
      </c>
      <c r="T18" s="151">
        <f t="shared" si="6"/>
        <v>78.75</v>
      </c>
      <c r="U18" s="182">
        <f t="shared" si="7"/>
        <v>39.375</v>
      </c>
      <c r="V18" s="131">
        <f t="shared" si="8"/>
        <v>82.25</v>
      </c>
      <c r="W18" s="27" t="str">
        <f t="shared" si="24"/>
        <v>PASSED</v>
      </c>
      <c r="Z18" s="37">
        <v>3</v>
      </c>
      <c r="AA18" s="19">
        <v>3</v>
      </c>
      <c r="AB18" s="19">
        <v>3</v>
      </c>
      <c r="AC18" s="19"/>
      <c r="AD18" s="19"/>
      <c r="AE18" s="108"/>
      <c r="AF18" s="113">
        <f t="shared" si="9"/>
        <v>9</v>
      </c>
      <c r="AG18" s="179">
        <f t="shared" si="10"/>
        <v>100</v>
      </c>
      <c r="AH18" s="184">
        <f t="shared" si="11"/>
        <v>10</v>
      </c>
      <c r="AI18" s="37">
        <v>85</v>
      </c>
      <c r="AJ18" s="19">
        <v>85</v>
      </c>
      <c r="AK18" s="19">
        <v>85</v>
      </c>
      <c r="AL18" s="19"/>
      <c r="AM18" s="19"/>
      <c r="AN18" s="108"/>
      <c r="AO18" s="113">
        <f t="shared" si="12"/>
        <v>255</v>
      </c>
      <c r="AP18" s="179">
        <f t="shared" si="13"/>
        <v>92.5</v>
      </c>
      <c r="AQ18" s="184">
        <f t="shared" si="14"/>
        <v>37</v>
      </c>
      <c r="AR18" s="36">
        <v>80</v>
      </c>
      <c r="AS18" s="108"/>
      <c r="AT18" s="113">
        <f t="shared" si="15"/>
        <v>80</v>
      </c>
      <c r="AU18" s="179">
        <f t="shared" si="16"/>
        <v>90</v>
      </c>
      <c r="AV18" s="184">
        <f t="shared" si="17"/>
        <v>45</v>
      </c>
      <c r="AW18" s="139">
        <f t="shared" si="25"/>
        <v>92</v>
      </c>
      <c r="AX18" s="113" t="str">
        <f t="shared" si="26"/>
        <v>PASSED</v>
      </c>
      <c r="AZ18" s="151">
        <f t="shared" si="18"/>
        <v>49.35</v>
      </c>
      <c r="BA18" s="151">
        <f t="shared" si="19"/>
        <v>36.800000000000004</v>
      </c>
      <c r="BB18" s="151">
        <f t="shared" si="20"/>
        <v>86.15</v>
      </c>
      <c r="BC18" s="24" t="str">
        <f t="shared" si="21"/>
        <v>PASSED</v>
      </c>
    </row>
    <row r="19" spans="1:55" ht="19.2" thickTop="1" thickBot="1" x14ac:dyDescent="0.35">
      <c r="A19" s="19">
        <f>Attendance!A17</f>
        <v>10</v>
      </c>
      <c r="B19" s="71" t="s">
        <v>37</v>
      </c>
      <c r="C19" s="128">
        <f>Attendance!AB17</f>
        <v>3</v>
      </c>
      <c r="D19" s="181">
        <f t="shared" si="22"/>
        <v>100</v>
      </c>
      <c r="E19" s="182">
        <f t="shared" si="0"/>
        <v>5</v>
      </c>
      <c r="F19" s="25">
        <v>35</v>
      </c>
      <c r="G19" s="29"/>
      <c r="H19" s="103"/>
      <c r="I19" s="24">
        <f t="shared" si="23"/>
        <v>35</v>
      </c>
      <c r="J19" s="151">
        <f t="shared" si="1"/>
        <v>85</v>
      </c>
      <c r="K19" s="182">
        <f t="shared" si="2"/>
        <v>12.75</v>
      </c>
      <c r="L19" s="28">
        <v>9</v>
      </c>
      <c r="M19" s="29">
        <v>11</v>
      </c>
      <c r="N19" s="29">
        <v>9</v>
      </c>
      <c r="O19" s="103"/>
      <c r="P19" s="24">
        <f t="shared" si="3"/>
        <v>29</v>
      </c>
      <c r="Q19" s="151">
        <f t="shared" si="4"/>
        <v>86.25</v>
      </c>
      <c r="R19" s="182">
        <f t="shared" si="5"/>
        <v>25.875</v>
      </c>
      <c r="S19" s="106">
        <v>48</v>
      </c>
      <c r="T19" s="151">
        <f t="shared" si="6"/>
        <v>80</v>
      </c>
      <c r="U19" s="182">
        <f t="shared" si="7"/>
        <v>40</v>
      </c>
      <c r="V19" s="131">
        <f t="shared" si="8"/>
        <v>83.625</v>
      </c>
      <c r="W19" s="27" t="str">
        <f t="shared" si="24"/>
        <v>PASSED</v>
      </c>
      <c r="Z19" s="37">
        <v>3</v>
      </c>
      <c r="AA19" s="19">
        <v>3</v>
      </c>
      <c r="AB19" s="19">
        <v>3</v>
      </c>
      <c r="AC19" s="19"/>
      <c r="AD19" s="19"/>
      <c r="AE19" s="108"/>
      <c r="AF19" s="113">
        <f t="shared" si="9"/>
        <v>9</v>
      </c>
      <c r="AG19" s="179">
        <f t="shared" si="10"/>
        <v>100</v>
      </c>
      <c r="AH19" s="184">
        <f t="shared" si="11"/>
        <v>10</v>
      </c>
      <c r="AI19" s="37">
        <v>100</v>
      </c>
      <c r="AJ19" s="19">
        <v>90</v>
      </c>
      <c r="AK19" s="19">
        <v>95</v>
      </c>
      <c r="AL19" s="19"/>
      <c r="AM19" s="19"/>
      <c r="AN19" s="108"/>
      <c r="AO19" s="113">
        <f t="shared" si="12"/>
        <v>285</v>
      </c>
      <c r="AP19" s="179">
        <f t="shared" si="13"/>
        <v>97.5</v>
      </c>
      <c r="AQ19" s="184">
        <f t="shared" si="14"/>
        <v>39</v>
      </c>
      <c r="AR19" s="36">
        <v>80</v>
      </c>
      <c r="AS19" s="108"/>
      <c r="AT19" s="113">
        <f t="shared" si="15"/>
        <v>80</v>
      </c>
      <c r="AU19" s="179">
        <f t="shared" si="16"/>
        <v>90</v>
      </c>
      <c r="AV19" s="184">
        <f t="shared" si="17"/>
        <v>45</v>
      </c>
      <c r="AW19" s="139">
        <f t="shared" si="25"/>
        <v>94</v>
      </c>
      <c r="AX19" s="113" t="str">
        <f t="shared" si="26"/>
        <v>PASSED</v>
      </c>
      <c r="AZ19" s="151">
        <f t="shared" si="18"/>
        <v>50.174999999999997</v>
      </c>
      <c r="BA19" s="151">
        <f t="shared" si="19"/>
        <v>37.6</v>
      </c>
      <c r="BB19" s="151">
        <f t="shared" si="20"/>
        <v>87.775000000000006</v>
      </c>
      <c r="BC19" s="24" t="str">
        <f t="shared" si="21"/>
        <v>PASSED</v>
      </c>
    </row>
    <row r="20" spans="1:55" ht="19.2" thickTop="1" thickBot="1" x14ac:dyDescent="0.35">
      <c r="A20" s="19">
        <f>Attendance!A18</f>
        <v>11</v>
      </c>
      <c r="B20" s="71" t="s">
        <v>38</v>
      </c>
      <c r="C20" s="128">
        <f>Attendance!AB18</f>
        <v>0</v>
      </c>
      <c r="D20" s="181">
        <f t="shared" si="22"/>
        <v>50</v>
      </c>
      <c r="E20" s="182">
        <f t="shared" si="0"/>
        <v>2.5</v>
      </c>
      <c r="F20" s="25">
        <v>35</v>
      </c>
      <c r="G20" s="29"/>
      <c r="H20" s="103"/>
      <c r="I20" s="24">
        <f t="shared" si="23"/>
        <v>35</v>
      </c>
      <c r="J20" s="151">
        <f t="shared" si="1"/>
        <v>85</v>
      </c>
      <c r="K20" s="182">
        <f t="shared" si="2"/>
        <v>12.75</v>
      </c>
      <c r="L20" s="28">
        <v>0</v>
      </c>
      <c r="M20" s="29">
        <v>0</v>
      </c>
      <c r="N20" s="29">
        <v>0</v>
      </c>
      <c r="O20" s="103"/>
      <c r="P20" s="24">
        <f t="shared" si="3"/>
        <v>0</v>
      </c>
      <c r="Q20" s="151">
        <f t="shared" si="4"/>
        <v>50</v>
      </c>
      <c r="R20" s="182">
        <f t="shared" si="5"/>
        <v>15</v>
      </c>
      <c r="S20" s="106">
        <v>41</v>
      </c>
      <c r="T20" s="151">
        <f t="shared" si="6"/>
        <v>75.625</v>
      </c>
      <c r="U20" s="182">
        <f t="shared" si="7"/>
        <v>37.8125</v>
      </c>
      <c r="V20" s="131">
        <f t="shared" si="8"/>
        <v>68.0625</v>
      </c>
      <c r="W20" s="27" t="str">
        <f t="shared" si="24"/>
        <v>FAILED</v>
      </c>
      <c r="Z20" s="37">
        <v>0</v>
      </c>
      <c r="AA20" s="19">
        <v>0</v>
      </c>
      <c r="AB20" s="19">
        <v>0</v>
      </c>
      <c r="AC20" s="19"/>
      <c r="AD20" s="19"/>
      <c r="AE20" s="108"/>
      <c r="AF20" s="113">
        <f t="shared" si="9"/>
        <v>0</v>
      </c>
      <c r="AG20" s="179">
        <f t="shared" si="10"/>
        <v>50</v>
      </c>
      <c r="AH20" s="184">
        <f t="shared" si="11"/>
        <v>5</v>
      </c>
      <c r="AI20" s="37">
        <v>0</v>
      </c>
      <c r="AJ20" s="19">
        <v>0</v>
      </c>
      <c r="AK20" s="19">
        <v>0</v>
      </c>
      <c r="AL20" s="19"/>
      <c r="AM20" s="19"/>
      <c r="AN20" s="108"/>
      <c r="AO20" s="113">
        <f t="shared" si="12"/>
        <v>0</v>
      </c>
      <c r="AP20" s="179">
        <f t="shared" si="13"/>
        <v>50</v>
      </c>
      <c r="AQ20" s="184">
        <f t="shared" si="14"/>
        <v>20</v>
      </c>
      <c r="AR20" s="36">
        <v>80</v>
      </c>
      <c r="AS20" s="108"/>
      <c r="AT20" s="113">
        <f t="shared" si="15"/>
        <v>80</v>
      </c>
      <c r="AU20" s="179">
        <f t="shared" si="16"/>
        <v>90</v>
      </c>
      <c r="AV20" s="184">
        <f t="shared" si="17"/>
        <v>45</v>
      </c>
      <c r="AW20" s="139">
        <f t="shared" si="25"/>
        <v>70</v>
      </c>
      <c r="AX20" s="113" t="str">
        <f t="shared" si="26"/>
        <v>FAILED</v>
      </c>
      <c r="AZ20" s="151">
        <f t="shared" si="18"/>
        <v>40.837499999999999</v>
      </c>
      <c r="BA20" s="151">
        <f t="shared" si="19"/>
        <v>28</v>
      </c>
      <c r="BB20" s="151">
        <f t="shared" si="20"/>
        <v>68.837500000000006</v>
      </c>
      <c r="BC20" s="24" t="str">
        <f t="shared" si="21"/>
        <v>FAILED</v>
      </c>
    </row>
    <row r="21" spans="1:55" ht="19.2" thickTop="1" thickBot="1" x14ac:dyDescent="0.35">
      <c r="A21" s="19">
        <f>Attendance!A19</f>
        <v>12</v>
      </c>
      <c r="B21" s="71" t="s">
        <v>39</v>
      </c>
      <c r="C21" s="128">
        <f>Attendance!AB19</f>
        <v>0</v>
      </c>
      <c r="D21" s="181">
        <f t="shared" si="22"/>
        <v>50</v>
      </c>
      <c r="E21" s="182">
        <f t="shared" si="0"/>
        <v>2.5</v>
      </c>
      <c r="F21" s="25">
        <v>35</v>
      </c>
      <c r="G21" s="29"/>
      <c r="H21" s="103"/>
      <c r="I21" s="24">
        <f t="shared" si="23"/>
        <v>35</v>
      </c>
      <c r="J21" s="151">
        <f t="shared" si="1"/>
        <v>85</v>
      </c>
      <c r="K21" s="182">
        <f t="shared" si="2"/>
        <v>12.75</v>
      </c>
      <c r="L21" s="28">
        <v>0</v>
      </c>
      <c r="M21" s="29">
        <v>0</v>
      </c>
      <c r="N21" s="29">
        <v>0</v>
      </c>
      <c r="O21" s="103"/>
      <c r="P21" s="24">
        <f t="shared" si="3"/>
        <v>0</v>
      </c>
      <c r="Q21" s="151">
        <f t="shared" si="4"/>
        <v>50</v>
      </c>
      <c r="R21" s="182">
        <f t="shared" si="5"/>
        <v>15</v>
      </c>
      <c r="S21" s="106">
        <v>46</v>
      </c>
      <c r="T21" s="151">
        <f t="shared" si="6"/>
        <v>78.75</v>
      </c>
      <c r="U21" s="182">
        <f t="shared" si="7"/>
        <v>39.375</v>
      </c>
      <c r="V21" s="131">
        <f t="shared" si="8"/>
        <v>69.625</v>
      </c>
      <c r="W21" s="27" t="str">
        <f t="shared" si="24"/>
        <v>FAILED</v>
      </c>
      <c r="Z21" s="37">
        <v>0</v>
      </c>
      <c r="AA21" s="19">
        <v>0</v>
      </c>
      <c r="AB21" s="19">
        <v>0</v>
      </c>
      <c r="AC21" s="19"/>
      <c r="AD21" s="19"/>
      <c r="AE21" s="108"/>
      <c r="AF21" s="113">
        <f t="shared" si="9"/>
        <v>0</v>
      </c>
      <c r="AG21" s="179">
        <f t="shared" si="10"/>
        <v>50</v>
      </c>
      <c r="AH21" s="184">
        <f t="shared" si="11"/>
        <v>5</v>
      </c>
      <c r="AI21" s="37">
        <v>0</v>
      </c>
      <c r="AJ21" s="19">
        <v>0</v>
      </c>
      <c r="AK21" s="19">
        <v>0</v>
      </c>
      <c r="AL21" s="19"/>
      <c r="AM21" s="19"/>
      <c r="AN21" s="108"/>
      <c r="AO21" s="113">
        <f t="shared" si="12"/>
        <v>0</v>
      </c>
      <c r="AP21" s="179">
        <f t="shared" si="13"/>
        <v>50</v>
      </c>
      <c r="AQ21" s="184">
        <f t="shared" si="14"/>
        <v>20</v>
      </c>
      <c r="AR21" s="36">
        <v>80</v>
      </c>
      <c r="AS21" s="108"/>
      <c r="AT21" s="113">
        <f t="shared" si="15"/>
        <v>80</v>
      </c>
      <c r="AU21" s="179">
        <f t="shared" si="16"/>
        <v>90</v>
      </c>
      <c r="AV21" s="184">
        <f t="shared" si="17"/>
        <v>45</v>
      </c>
      <c r="AW21" s="139">
        <f t="shared" si="25"/>
        <v>70</v>
      </c>
      <c r="AX21" s="113" t="str">
        <f t="shared" si="26"/>
        <v>FAILED</v>
      </c>
      <c r="AZ21" s="151">
        <f t="shared" si="18"/>
        <v>41.774999999999999</v>
      </c>
      <c r="BA21" s="151">
        <f t="shared" si="19"/>
        <v>28</v>
      </c>
      <c r="BB21" s="151">
        <f t="shared" si="20"/>
        <v>69.775000000000006</v>
      </c>
      <c r="BC21" s="24" t="str">
        <f t="shared" si="21"/>
        <v>FAILED</v>
      </c>
    </row>
    <row r="22" spans="1:55" ht="19.2" thickTop="1" thickBot="1" x14ac:dyDescent="0.35">
      <c r="A22" s="19">
        <f>Attendance!A20</f>
        <v>13</v>
      </c>
      <c r="B22" s="71" t="s">
        <v>40</v>
      </c>
      <c r="C22" s="128">
        <f>Attendance!AB20</f>
        <v>3</v>
      </c>
      <c r="D22" s="181">
        <f t="shared" si="22"/>
        <v>100</v>
      </c>
      <c r="E22" s="182">
        <f t="shared" si="0"/>
        <v>5</v>
      </c>
      <c r="F22" s="25">
        <v>35</v>
      </c>
      <c r="G22" s="29"/>
      <c r="H22" s="103"/>
      <c r="I22" s="24">
        <f t="shared" si="23"/>
        <v>35</v>
      </c>
      <c r="J22" s="151">
        <f t="shared" si="1"/>
        <v>85</v>
      </c>
      <c r="K22" s="182">
        <f t="shared" si="2"/>
        <v>12.75</v>
      </c>
      <c r="L22" s="28">
        <v>9</v>
      </c>
      <c r="M22" s="29">
        <v>11</v>
      </c>
      <c r="N22" s="29">
        <v>8</v>
      </c>
      <c r="O22" s="103"/>
      <c r="P22" s="24">
        <f t="shared" si="3"/>
        <v>28</v>
      </c>
      <c r="Q22" s="151">
        <f t="shared" si="4"/>
        <v>85</v>
      </c>
      <c r="R22" s="182">
        <f t="shared" si="5"/>
        <v>25.5</v>
      </c>
      <c r="S22" s="106">
        <v>0</v>
      </c>
      <c r="T22" s="151">
        <f t="shared" si="6"/>
        <v>50</v>
      </c>
      <c r="U22" s="182">
        <f t="shared" si="7"/>
        <v>25</v>
      </c>
      <c r="V22" s="131">
        <f t="shared" si="8"/>
        <v>68.25</v>
      </c>
      <c r="W22" s="27" t="str">
        <f t="shared" si="24"/>
        <v>FAILED</v>
      </c>
      <c r="Z22" s="37">
        <v>0</v>
      </c>
      <c r="AA22" s="19">
        <v>0</v>
      </c>
      <c r="AB22" s="19">
        <v>0</v>
      </c>
      <c r="AC22" s="19"/>
      <c r="AD22" s="19"/>
      <c r="AE22" s="108"/>
      <c r="AF22" s="113">
        <f t="shared" si="9"/>
        <v>0</v>
      </c>
      <c r="AG22" s="179">
        <f t="shared" si="10"/>
        <v>50</v>
      </c>
      <c r="AH22" s="184">
        <f t="shared" si="11"/>
        <v>5</v>
      </c>
      <c r="AI22" s="37">
        <v>0</v>
      </c>
      <c r="AJ22" s="19">
        <v>0</v>
      </c>
      <c r="AK22" s="19">
        <v>0</v>
      </c>
      <c r="AL22" s="19"/>
      <c r="AM22" s="19"/>
      <c r="AN22" s="108"/>
      <c r="AO22" s="113">
        <f t="shared" si="12"/>
        <v>0</v>
      </c>
      <c r="AP22" s="179">
        <f t="shared" si="13"/>
        <v>50</v>
      </c>
      <c r="AQ22" s="184">
        <f t="shared" si="14"/>
        <v>20</v>
      </c>
      <c r="AR22" s="36">
        <v>80</v>
      </c>
      <c r="AS22" s="108"/>
      <c r="AT22" s="113">
        <f t="shared" si="15"/>
        <v>80</v>
      </c>
      <c r="AU22" s="179">
        <f t="shared" si="16"/>
        <v>90</v>
      </c>
      <c r="AV22" s="184">
        <f t="shared" si="17"/>
        <v>45</v>
      </c>
      <c r="AW22" s="139">
        <f t="shared" si="25"/>
        <v>70</v>
      </c>
      <c r="AX22" s="113" t="str">
        <f t="shared" si="26"/>
        <v>FAILED</v>
      </c>
      <c r="AZ22" s="151">
        <f t="shared" si="18"/>
        <v>40.949999999999996</v>
      </c>
      <c r="BA22" s="151">
        <f t="shared" si="19"/>
        <v>28</v>
      </c>
      <c r="BB22" s="151">
        <f t="shared" si="20"/>
        <v>68.949999999999989</v>
      </c>
      <c r="BC22" s="24" t="str">
        <f t="shared" si="21"/>
        <v>FAILED</v>
      </c>
    </row>
    <row r="23" spans="1:55" ht="19.2" thickTop="1" thickBot="1" x14ac:dyDescent="0.35">
      <c r="A23" s="19">
        <f>Attendance!A21</f>
        <v>14</v>
      </c>
      <c r="B23" s="71" t="s">
        <v>41</v>
      </c>
      <c r="C23" s="128">
        <f>Attendance!AB21</f>
        <v>3</v>
      </c>
      <c r="D23" s="181">
        <f t="shared" si="22"/>
        <v>100</v>
      </c>
      <c r="E23" s="182">
        <f t="shared" si="0"/>
        <v>5</v>
      </c>
      <c r="F23" s="25">
        <v>35</v>
      </c>
      <c r="G23" s="29"/>
      <c r="H23" s="103"/>
      <c r="I23" s="24">
        <f t="shared" si="23"/>
        <v>35</v>
      </c>
      <c r="J23" s="151">
        <f t="shared" si="1"/>
        <v>85</v>
      </c>
      <c r="K23" s="182">
        <f t="shared" si="2"/>
        <v>12.75</v>
      </c>
      <c r="L23" s="28">
        <v>6</v>
      </c>
      <c r="M23" s="29">
        <v>7</v>
      </c>
      <c r="N23" s="29">
        <v>5</v>
      </c>
      <c r="O23" s="103"/>
      <c r="P23" s="24">
        <f t="shared" si="3"/>
        <v>18</v>
      </c>
      <c r="Q23" s="151">
        <f t="shared" si="4"/>
        <v>72.5</v>
      </c>
      <c r="R23" s="182">
        <f t="shared" si="5"/>
        <v>21.75</v>
      </c>
      <c r="S23" s="106">
        <v>0</v>
      </c>
      <c r="T23" s="151">
        <f t="shared" si="6"/>
        <v>50</v>
      </c>
      <c r="U23" s="182">
        <f t="shared" si="7"/>
        <v>25</v>
      </c>
      <c r="V23" s="131">
        <f t="shared" si="8"/>
        <v>64.5</v>
      </c>
      <c r="W23" s="27" t="str">
        <f t="shared" si="24"/>
        <v>FAILED</v>
      </c>
      <c r="Z23" s="37">
        <v>0</v>
      </c>
      <c r="AA23" s="19">
        <v>0</v>
      </c>
      <c r="AB23" s="19">
        <v>0</v>
      </c>
      <c r="AC23" s="19"/>
      <c r="AD23" s="19"/>
      <c r="AE23" s="108"/>
      <c r="AF23" s="113">
        <f t="shared" si="9"/>
        <v>0</v>
      </c>
      <c r="AG23" s="179">
        <f t="shared" si="10"/>
        <v>50</v>
      </c>
      <c r="AH23" s="184">
        <f t="shared" si="11"/>
        <v>5</v>
      </c>
      <c r="AI23" s="37">
        <v>0</v>
      </c>
      <c r="AJ23" s="19">
        <v>0</v>
      </c>
      <c r="AK23" s="19">
        <v>0</v>
      </c>
      <c r="AL23" s="19"/>
      <c r="AM23" s="19"/>
      <c r="AN23" s="108"/>
      <c r="AO23" s="113">
        <f t="shared" si="12"/>
        <v>0</v>
      </c>
      <c r="AP23" s="179">
        <f t="shared" si="13"/>
        <v>50</v>
      </c>
      <c r="AQ23" s="184">
        <f t="shared" si="14"/>
        <v>20</v>
      </c>
      <c r="AR23" s="36">
        <v>80</v>
      </c>
      <c r="AS23" s="108"/>
      <c r="AT23" s="113">
        <f t="shared" si="15"/>
        <v>80</v>
      </c>
      <c r="AU23" s="179">
        <f t="shared" si="16"/>
        <v>90</v>
      </c>
      <c r="AV23" s="184">
        <f t="shared" si="17"/>
        <v>45</v>
      </c>
      <c r="AW23" s="139">
        <f t="shared" si="25"/>
        <v>70</v>
      </c>
      <c r="AX23" s="113" t="str">
        <f t="shared" si="26"/>
        <v>FAILED</v>
      </c>
      <c r="AZ23" s="151">
        <f t="shared" si="18"/>
        <v>38.699999999999996</v>
      </c>
      <c r="BA23" s="151">
        <f t="shared" si="19"/>
        <v>28</v>
      </c>
      <c r="BB23" s="151">
        <f t="shared" si="20"/>
        <v>66.699999999999989</v>
      </c>
      <c r="BC23" s="24" t="str">
        <f t="shared" si="21"/>
        <v>FAILED</v>
      </c>
    </row>
    <row r="24" spans="1:55" ht="19.2" thickTop="1" thickBot="1" x14ac:dyDescent="0.35">
      <c r="A24" s="19">
        <f>Attendance!A22</f>
        <v>15</v>
      </c>
      <c r="B24" s="71" t="s">
        <v>42</v>
      </c>
      <c r="C24" s="128">
        <f>Attendance!AB22</f>
        <v>3</v>
      </c>
      <c r="D24" s="181">
        <f t="shared" si="22"/>
        <v>100</v>
      </c>
      <c r="E24" s="182">
        <f t="shared" si="0"/>
        <v>5</v>
      </c>
      <c r="F24" s="25">
        <v>35</v>
      </c>
      <c r="G24" s="29"/>
      <c r="H24" s="103"/>
      <c r="I24" s="24">
        <f t="shared" si="23"/>
        <v>35</v>
      </c>
      <c r="J24" s="151">
        <f t="shared" si="1"/>
        <v>85</v>
      </c>
      <c r="K24" s="182">
        <f t="shared" si="2"/>
        <v>12.75</v>
      </c>
      <c r="L24" s="28">
        <v>7</v>
      </c>
      <c r="M24" s="29">
        <v>8</v>
      </c>
      <c r="N24" s="29">
        <v>4</v>
      </c>
      <c r="O24" s="103"/>
      <c r="P24" s="24">
        <f t="shared" si="3"/>
        <v>19</v>
      </c>
      <c r="Q24" s="151">
        <f t="shared" si="4"/>
        <v>73.75</v>
      </c>
      <c r="R24" s="182">
        <f t="shared" si="5"/>
        <v>22.125</v>
      </c>
      <c r="S24" s="106">
        <v>42</v>
      </c>
      <c r="T24" s="151">
        <f t="shared" si="6"/>
        <v>76.25</v>
      </c>
      <c r="U24" s="182">
        <f t="shared" si="7"/>
        <v>38.125</v>
      </c>
      <c r="V24" s="131">
        <f t="shared" si="8"/>
        <v>78</v>
      </c>
      <c r="W24" s="27" t="str">
        <f t="shared" si="24"/>
        <v>PASSED</v>
      </c>
      <c r="Z24" s="37">
        <v>3</v>
      </c>
      <c r="AA24" s="19">
        <v>3</v>
      </c>
      <c r="AB24" s="19">
        <v>3</v>
      </c>
      <c r="AC24" s="19"/>
      <c r="AD24" s="19"/>
      <c r="AE24" s="108"/>
      <c r="AF24" s="113">
        <f t="shared" si="9"/>
        <v>9</v>
      </c>
      <c r="AG24" s="179">
        <f t="shared" si="10"/>
        <v>100</v>
      </c>
      <c r="AH24" s="184">
        <f t="shared" si="11"/>
        <v>10</v>
      </c>
      <c r="AI24" s="37">
        <v>75</v>
      </c>
      <c r="AJ24" s="19">
        <v>75</v>
      </c>
      <c r="AK24" s="19">
        <v>50</v>
      </c>
      <c r="AL24" s="19"/>
      <c r="AM24" s="19"/>
      <c r="AN24" s="108"/>
      <c r="AO24" s="113">
        <f t="shared" si="12"/>
        <v>200</v>
      </c>
      <c r="AP24" s="179">
        <f t="shared" si="13"/>
        <v>83.333333333333329</v>
      </c>
      <c r="AQ24" s="184">
        <f t="shared" si="14"/>
        <v>33.333333333333336</v>
      </c>
      <c r="AR24" s="36">
        <v>80</v>
      </c>
      <c r="AS24" s="108"/>
      <c r="AT24" s="113">
        <f t="shared" si="15"/>
        <v>80</v>
      </c>
      <c r="AU24" s="179">
        <f t="shared" si="16"/>
        <v>90</v>
      </c>
      <c r="AV24" s="184">
        <f t="shared" si="17"/>
        <v>45</v>
      </c>
      <c r="AW24" s="139">
        <f t="shared" si="25"/>
        <v>88.333333333333343</v>
      </c>
      <c r="AX24" s="113" t="str">
        <f t="shared" si="26"/>
        <v>PASSED</v>
      </c>
      <c r="AZ24" s="151">
        <f t="shared" si="18"/>
        <v>46.8</v>
      </c>
      <c r="BA24" s="151">
        <f t="shared" si="19"/>
        <v>35.333333333333336</v>
      </c>
      <c r="BB24" s="151">
        <f t="shared" si="20"/>
        <v>82.133333333333326</v>
      </c>
      <c r="BC24" s="24" t="str">
        <f t="shared" si="21"/>
        <v>PASSED</v>
      </c>
    </row>
    <row r="25" spans="1:55" ht="19.2" thickTop="1" thickBot="1" x14ac:dyDescent="0.35">
      <c r="A25" s="19">
        <f>Attendance!A23</f>
        <v>16</v>
      </c>
      <c r="B25" s="71" t="s">
        <v>43</v>
      </c>
      <c r="C25" s="128">
        <f>Attendance!AB23</f>
        <v>0</v>
      </c>
      <c r="D25" s="181">
        <f t="shared" si="22"/>
        <v>50</v>
      </c>
      <c r="E25" s="182">
        <f t="shared" si="0"/>
        <v>2.5</v>
      </c>
      <c r="F25" s="25">
        <v>35</v>
      </c>
      <c r="G25" s="29"/>
      <c r="H25" s="103"/>
      <c r="I25" s="24">
        <f t="shared" si="23"/>
        <v>35</v>
      </c>
      <c r="J25" s="151">
        <f t="shared" si="1"/>
        <v>85</v>
      </c>
      <c r="K25" s="182">
        <f t="shared" si="2"/>
        <v>12.75</v>
      </c>
      <c r="L25" s="28">
        <v>0</v>
      </c>
      <c r="M25" s="29">
        <v>0</v>
      </c>
      <c r="N25" s="29">
        <v>0</v>
      </c>
      <c r="O25" s="103"/>
      <c r="P25" s="24">
        <f t="shared" si="3"/>
        <v>0</v>
      </c>
      <c r="Q25" s="151">
        <f t="shared" si="4"/>
        <v>50</v>
      </c>
      <c r="R25" s="182">
        <f t="shared" si="5"/>
        <v>15</v>
      </c>
      <c r="S25" s="106">
        <v>37</v>
      </c>
      <c r="T25" s="151">
        <f t="shared" si="6"/>
        <v>73.125</v>
      </c>
      <c r="U25" s="182">
        <f t="shared" si="7"/>
        <v>36.5625</v>
      </c>
      <c r="V25" s="131">
        <f t="shared" si="8"/>
        <v>66.8125</v>
      </c>
      <c r="W25" s="27" t="str">
        <f t="shared" si="24"/>
        <v>FAILED</v>
      </c>
      <c r="Z25" s="37">
        <v>3</v>
      </c>
      <c r="AA25" s="19">
        <v>3</v>
      </c>
      <c r="AB25" s="19">
        <v>3</v>
      </c>
      <c r="AC25" s="19"/>
      <c r="AD25" s="19"/>
      <c r="AE25" s="108"/>
      <c r="AF25" s="113">
        <f t="shared" si="9"/>
        <v>9</v>
      </c>
      <c r="AG25" s="179">
        <f t="shared" si="10"/>
        <v>100</v>
      </c>
      <c r="AH25" s="184">
        <f t="shared" si="11"/>
        <v>10</v>
      </c>
      <c r="AI25" s="37">
        <v>75</v>
      </c>
      <c r="AJ25" s="19">
        <v>75</v>
      </c>
      <c r="AK25" s="19">
        <v>85</v>
      </c>
      <c r="AL25" s="19"/>
      <c r="AM25" s="19"/>
      <c r="AN25" s="108"/>
      <c r="AO25" s="113">
        <f t="shared" si="12"/>
        <v>235</v>
      </c>
      <c r="AP25" s="179">
        <f t="shared" si="13"/>
        <v>89.166666666666657</v>
      </c>
      <c r="AQ25" s="184">
        <f t="shared" si="14"/>
        <v>35.666666666666664</v>
      </c>
      <c r="AR25" s="36">
        <v>80</v>
      </c>
      <c r="AS25" s="108"/>
      <c r="AT25" s="113">
        <f t="shared" si="15"/>
        <v>80</v>
      </c>
      <c r="AU25" s="179">
        <f t="shared" si="16"/>
        <v>90</v>
      </c>
      <c r="AV25" s="184">
        <f t="shared" si="17"/>
        <v>45</v>
      </c>
      <c r="AW25" s="139">
        <f t="shared" si="25"/>
        <v>90.666666666666657</v>
      </c>
      <c r="AX25" s="113" t="str">
        <f t="shared" si="26"/>
        <v>PASSED</v>
      </c>
      <c r="AZ25" s="151">
        <f t="shared" si="18"/>
        <v>40.087499999999999</v>
      </c>
      <c r="BA25" s="151">
        <f t="shared" si="19"/>
        <v>36.266666666666666</v>
      </c>
      <c r="BB25" s="151">
        <f t="shared" si="20"/>
        <v>76.354166666666657</v>
      </c>
      <c r="BC25" s="24" t="str">
        <f t="shared" si="21"/>
        <v>PASSED</v>
      </c>
    </row>
    <row r="26" spans="1:55" ht="19.2" thickTop="1" thickBot="1" x14ac:dyDescent="0.35">
      <c r="A26" s="19">
        <f>Attendance!A24</f>
        <v>17</v>
      </c>
      <c r="B26" s="71" t="s">
        <v>44</v>
      </c>
      <c r="C26" s="128">
        <f>Attendance!AB24</f>
        <v>3</v>
      </c>
      <c r="D26" s="181">
        <f t="shared" si="22"/>
        <v>100</v>
      </c>
      <c r="E26" s="182">
        <f t="shared" si="0"/>
        <v>5</v>
      </c>
      <c r="F26" s="25">
        <v>35</v>
      </c>
      <c r="G26" s="29"/>
      <c r="H26" s="103"/>
      <c r="I26" s="24">
        <f t="shared" si="23"/>
        <v>35</v>
      </c>
      <c r="J26" s="151">
        <f t="shared" si="1"/>
        <v>85</v>
      </c>
      <c r="K26" s="182">
        <f t="shared" si="2"/>
        <v>12.75</v>
      </c>
      <c r="L26" s="28">
        <v>4</v>
      </c>
      <c r="M26" s="29">
        <v>3</v>
      </c>
      <c r="N26" s="29">
        <v>6</v>
      </c>
      <c r="O26" s="103"/>
      <c r="P26" s="24">
        <f t="shared" si="3"/>
        <v>13</v>
      </c>
      <c r="Q26" s="151">
        <f t="shared" si="4"/>
        <v>66.25</v>
      </c>
      <c r="R26" s="182">
        <f t="shared" si="5"/>
        <v>19.875</v>
      </c>
      <c r="S26" s="106">
        <v>47</v>
      </c>
      <c r="T26" s="151">
        <f t="shared" si="6"/>
        <v>79.375</v>
      </c>
      <c r="U26" s="182">
        <f t="shared" si="7"/>
        <v>39.6875</v>
      </c>
      <c r="V26" s="131">
        <f t="shared" si="8"/>
        <v>77.3125</v>
      </c>
      <c r="W26" s="27" t="str">
        <f t="shared" si="24"/>
        <v>PASSED</v>
      </c>
      <c r="Z26" s="37">
        <v>3</v>
      </c>
      <c r="AA26" s="19">
        <v>3</v>
      </c>
      <c r="AB26" s="19">
        <v>3</v>
      </c>
      <c r="AC26" s="19"/>
      <c r="AD26" s="19"/>
      <c r="AE26" s="108"/>
      <c r="AF26" s="113">
        <f t="shared" si="9"/>
        <v>9</v>
      </c>
      <c r="AG26" s="179">
        <f t="shared" si="10"/>
        <v>100</v>
      </c>
      <c r="AH26" s="184">
        <f t="shared" si="11"/>
        <v>10</v>
      </c>
      <c r="AI26" s="37">
        <v>95</v>
      </c>
      <c r="AJ26" s="19">
        <v>90</v>
      </c>
      <c r="AK26" s="19">
        <v>90</v>
      </c>
      <c r="AL26" s="19"/>
      <c r="AM26" s="19"/>
      <c r="AN26" s="108"/>
      <c r="AO26" s="113">
        <f t="shared" si="12"/>
        <v>275</v>
      </c>
      <c r="AP26" s="179">
        <f t="shared" si="13"/>
        <v>95.833333333333329</v>
      </c>
      <c r="AQ26" s="184">
        <f t="shared" si="14"/>
        <v>38.333333333333336</v>
      </c>
      <c r="AR26" s="36">
        <v>80</v>
      </c>
      <c r="AS26" s="108"/>
      <c r="AT26" s="113">
        <f t="shared" si="15"/>
        <v>80</v>
      </c>
      <c r="AU26" s="179">
        <f t="shared" si="16"/>
        <v>90</v>
      </c>
      <c r="AV26" s="184">
        <f t="shared" si="17"/>
        <v>45</v>
      </c>
      <c r="AW26" s="139">
        <f t="shared" si="25"/>
        <v>93.333333333333343</v>
      </c>
      <c r="AX26" s="113" t="str">
        <f t="shared" si="26"/>
        <v>PASSED</v>
      </c>
      <c r="AZ26" s="151">
        <f t="shared" si="18"/>
        <v>46.387499999999996</v>
      </c>
      <c r="BA26" s="151">
        <f t="shared" si="19"/>
        <v>37.333333333333336</v>
      </c>
      <c r="BB26" s="151">
        <f t="shared" si="20"/>
        <v>83.720833333333331</v>
      </c>
      <c r="BC26" s="24" t="str">
        <f t="shared" si="21"/>
        <v>PASSED</v>
      </c>
    </row>
    <row r="27" spans="1:55" ht="19.2" thickTop="1" thickBot="1" x14ac:dyDescent="0.35">
      <c r="A27" s="19">
        <f>Attendance!A25</f>
        <v>18</v>
      </c>
      <c r="B27" s="71" t="s">
        <v>45</v>
      </c>
      <c r="C27" s="128">
        <f>Attendance!AB25</f>
        <v>3</v>
      </c>
      <c r="D27" s="181">
        <f t="shared" si="22"/>
        <v>100</v>
      </c>
      <c r="E27" s="182">
        <f t="shared" si="0"/>
        <v>5</v>
      </c>
      <c r="F27" s="25">
        <v>35</v>
      </c>
      <c r="G27" s="29"/>
      <c r="H27" s="103"/>
      <c r="I27" s="24">
        <f t="shared" si="23"/>
        <v>35</v>
      </c>
      <c r="J27" s="151">
        <f t="shared" si="1"/>
        <v>85</v>
      </c>
      <c r="K27" s="182">
        <f t="shared" si="2"/>
        <v>12.75</v>
      </c>
      <c r="L27" s="28">
        <v>5</v>
      </c>
      <c r="M27" s="29">
        <v>8</v>
      </c>
      <c r="N27" s="29">
        <v>3</v>
      </c>
      <c r="O27" s="103"/>
      <c r="P27" s="24">
        <f t="shared" si="3"/>
        <v>16</v>
      </c>
      <c r="Q27" s="151">
        <f t="shared" si="4"/>
        <v>70</v>
      </c>
      <c r="R27" s="182">
        <f t="shared" si="5"/>
        <v>21</v>
      </c>
      <c r="S27" s="106">
        <v>50</v>
      </c>
      <c r="T27" s="151">
        <f t="shared" si="6"/>
        <v>81.25</v>
      </c>
      <c r="U27" s="182">
        <f t="shared" si="7"/>
        <v>40.625</v>
      </c>
      <c r="V27" s="131">
        <f t="shared" si="8"/>
        <v>79.375</v>
      </c>
      <c r="W27" s="27" t="str">
        <f t="shared" si="24"/>
        <v>PASSED</v>
      </c>
      <c r="Z27" s="37">
        <v>3</v>
      </c>
      <c r="AA27" s="19">
        <v>3</v>
      </c>
      <c r="AB27" s="19">
        <v>3</v>
      </c>
      <c r="AC27" s="19"/>
      <c r="AD27" s="19"/>
      <c r="AE27" s="108"/>
      <c r="AF27" s="113">
        <f t="shared" si="9"/>
        <v>9</v>
      </c>
      <c r="AG27" s="179">
        <f t="shared" si="10"/>
        <v>100</v>
      </c>
      <c r="AH27" s="184">
        <f t="shared" si="11"/>
        <v>10</v>
      </c>
      <c r="AI27" s="37">
        <v>98</v>
      </c>
      <c r="AJ27" s="19">
        <v>95</v>
      </c>
      <c r="AK27" s="19">
        <v>85</v>
      </c>
      <c r="AL27" s="19"/>
      <c r="AM27" s="19"/>
      <c r="AN27" s="108"/>
      <c r="AO27" s="113">
        <f t="shared" si="12"/>
        <v>278</v>
      </c>
      <c r="AP27" s="179">
        <f t="shared" si="13"/>
        <v>96.333333333333329</v>
      </c>
      <c r="AQ27" s="184">
        <f t="shared" si="14"/>
        <v>38.533333333333331</v>
      </c>
      <c r="AR27" s="36">
        <v>80</v>
      </c>
      <c r="AS27" s="108"/>
      <c r="AT27" s="113">
        <f t="shared" si="15"/>
        <v>80</v>
      </c>
      <c r="AU27" s="179">
        <f t="shared" si="16"/>
        <v>90</v>
      </c>
      <c r="AV27" s="184">
        <f t="shared" si="17"/>
        <v>45</v>
      </c>
      <c r="AW27" s="139">
        <f t="shared" si="25"/>
        <v>93.533333333333331</v>
      </c>
      <c r="AX27" s="113" t="str">
        <f t="shared" si="26"/>
        <v>PASSED</v>
      </c>
      <c r="AZ27" s="151">
        <f t="shared" si="18"/>
        <v>47.625</v>
      </c>
      <c r="BA27" s="151">
        <f t="shared" si="19"/>
        <v>37.413333333333334</v>
      </c>
      <c r="BB27" s="151">
        <f t="shared" si="20"/>
        <v>85.038333333333327</v>
      </c>
      <c r="BC27" s="24" t="str">
        <f t="shared" si="21"/>
        <v>PASSED</v>
      </c>
    </row>
    <row r="28" spans="1:55" ht="19.2" thickTop="1" thickBot="1" x14ac:dyDescent="0.35">
      <c r="A28" s="19">
        <f>Attendance!A26</f>
        <v>19</v>
      </c>
      <c r="B28" s="71" t="s">
        <v>46</v>
      </c>
      <c r="C28" s="128">
        <f>Attendance!AB26</f>
        <v>3</v>
      </c>
      <c r="D28" s="181">
        <f t="shared" si="22"/>
        <v>100</v>
      </c>
      <c r="E28" s="182">
        <f t="shared" si="0"/>
        <v>5</v>
      </c>
      <c r="F28" s="25">
        <v>35</v>
      </c>
      <c r="G28" s="29"/>
      <c r="H28" s="103"/>
      <c r="I28" s="24">
        <f t="shared" si="23"/>
        <v>35</v>
      </c>
      <c r="J28" s="151">
        <f t="shared" si="1"/>
        <v>85</v>
      </c>
      <c r="K28" s="182">
        <f t="shared" si="2"/>
        <v>12.75</v>
      </c>
      <c r="L28" s="28">
        <v>6</v>
      </c>
      <c r="M28" s="29">
        <v>4</v>
      </c>
      <c r="N28" s="29">
        <v>7</v>
      </c>
      <c r="O28" s="103"/>
      <c r="P28" s="24">
        <f t="shared" si="3"/>
        <v>17</v>
      </c>
      <c r="Q28" s="151">
        <f t="shared" si="4"/>
        <v>71.25</v>
      </c>
      <c r="R28" s="182">
        <f t="shared" si="5"/>
        <v>21.375</v>
      </c>
      <c r="S28" s="106">
        <v>52</v>
      </c>
      <c r="T28" s="151">
        <f t="shared" si="6"/>
        <v>82.5</v>
      </c>
      <c r="U28" s="182">
        <f t="shared" si="7"/>
        <v>41.25</v>
      </c>
      <c r="V28" s="131">
        <f t="shared" si="8"/>
        <v>80.375</v>
      </c>
      <c r="W28" s="27" t="str">
        <f t="shared" si="24"/>
        <v>PASSED</v>
      </c>
      <c r="Z28" s="37">
        <v>3</v>
      </c>
      <c r="AA28" s="19">
        <v>3</v>
      </c>
      <c r="AB28" s="19">
        <v>3</v>
      </c>
      <c r="AC28" s="19"/>
      <c r="AD28" s="19"/>
      <c r="AE28" s="108"/>
      <c r="AF28" s="113">
        <f t="shared" si="9"/>
        <v>9</v>
      </c>
      <c r="AG28" s="179">
        <f t="shared" si="10"/>
        <v>100</v>
      </c>
      <c r="AH28" s="184">
        <f t="shared" si="11"/>
        <v>10</v>
      </c>
      <c r="AI28" s="37">
        <v>100</v>
      </c>
      <c r="AJ28" s="19">
        <v>90</v>
      </c>
      <c r="AK28" s="19">
        <v>75</v>
      </c>
      <c r="AL28" s="19"/>
      <c r="AM28" s="19"/>
      <c r="AN28" s="108"/>
      <c r="AO28" s="113">
        <f t="shared" si="12"/>
        <v>265</v>
      </c>
      <c r="AP28" s="179">
        <f t="shared" si="13"/>
        <v>94.166666666666657</v>
      </c>
      <c r="AQ28" s="184">
        <f t="shared" si="14"/>
        <v>37.666666666666664</v>
      </c>
      <c r="AR28" s="36">
        <v>80</v>
      </c>
      <c r="AS28" s="108"/>
      <c r="AT28" s="113">
        <f t="shared" si="15"/>
        <v>80</v>
      </c>
      <c r="AU28" s="179">
        <f t="shared" si="16"/>
        <v>90</v>
      </c>
      <c r="AV28" s="184">
        <f t="shared" si="17"/>
        <v>45</v>
      </c>
      <c r="AW28" s="139">
        <f t="shared" si="25"/>
        <v>92.666666666666657</v>
      </c>
      <c r="AX28" s="113" t="str">
        <f t="shared" si="26"/>
        <v>PASSED</v>
      </c>
      <c r="AZ28" s="151">
        <f t="shared" si="18"/>
        <v>48.225000000000001</v>
      </c>
      <c r="BA28" s="151">
        <f t="shared" si="19"/>
        <v>37.066666666666663</v>
      </c>
      <c r="BB28" s="151">
        <f t="shared" si="20"/>
        <v>85.291666666666657</v>
      </c>
      <c r="BC28" s="24" t="str">
        <f t="shared" si="21"/>
        <v>PASSED</v>
      </c>
    </row>
    <row r="29" spans="1:55" ht="19.2" thickTop="1" thickBot="1" x14ac:dyDescent="0.35">
      <c r="A29" s="19">
        <f>Attendance!A27</f>
        <v>20</v>
      </c>
      <c r="B29" s="71" t="s">
        <v>47</v>
      </c>
      <c r="C29" s="128">
        <f>Attendance!AB27</f>
        <v>3</v>
      </c>
      <c r="D29" s="181">
        <f t="shared" si="22"/>
        <v>100</v>
      </c>
      <c r="E29" s="182">
        <f t="shared" si="0"/>
        <v>5</v>
      </c>
      <c r="F29" s="25">
        <v>35</v>
      </c>
      <c r="G29" s="29"/>
      <c r="H29" s="103"/>
      <c r="I29" s="24">
        <f t="shared" si="23"/>
        <v>35</v>
      </c>
      <c r="J29" s="151">
        <f t="shared" si="1"/>
        <v>85</v>
      </c>
      <c r="K29" s="182">
        <f t="shared" si="2"/>
        <v>12.75</v>
      </c>
      <c r="L29" s="28">
        <v>10</v>
      </c>
      <c r="M29" s="29">
        <v>14</v>
      </c>
      <c r="N29" s="29">
        <v>9</v>
      </c>
      <c r="O29" s="103"/>
      <c r="P29" s="24">
        <f t="shared" si="3"/>
        <v>33</v>
      </c>
      <c r="Q29" s="151">
        <f t="shared" si="4"/>
        <v>91.25</v>
      </c>
      <c r="R29" s="182">
        <f t="shared" si="5"/>
        <v>27.375</v>
      </c>
      <c r="S29" s="106">
        <v>68</v>
      </c>
      <c r="T29" s="151">
        <f t="shared" si="6"/>
        <v>92.5</v>
      </c>
      <c r="U29" s="182">
        <f t="shared" si="7"/>
        <v>46.25</v>
      </c>
      <c r="V29" s="131">
        <f t="shared" si="8"/>
        <v>91.375</v>
      </c>
      <c r="W29" s="27" t="str">
        <f t="shared" si="24"/>
        <v>PASSED</v>
      </c>
      <c r="Z29" s="37">
        <v>3</v>
      </c>
      <c r="AA29" s="19">
        <v>3</v>
      </c>
      <c r="AB29" s="19">
        <v>3</v>
      </c>
      <c r="AC29" s="19"/>
      <c r="AD29" s="19"/>
      <c r="AE29" s="108"/>
      <c r="AF29" s="113">
        <f t="shared" si="9"/>
        <v>9</v>
      </c>
      <c r="AG29" s="179">
        <f t="shared" si="10"/>
        <v>100</v>
      </c>
      <c r="AH29" s="184">
        <f t="shared" si="11"/>
        <v>10</v>
      </c>
      <c r="AI29" s="37">
        <v>95</v>
      </c>
      <c r="AJ29" s="19">
        <v>90</v>
      </c>
      <c r="AK29" s="19">
        <v>90</v>
      </c>
      <c r="AL29" s="19"/>
      <c r="AM29" s="19"/>
      <c r="AN29" s="108"/>
      <c r="AO29" s="113">
        <f t="shared" si="12"/>
        <v>275</v>
      </c>
      <c r="AP29" s="179">
        <f t="shared" si="13"/>
        <v>95.833333333333329</v>
      </c>
      <c r="AQ29" s="184">
        <f t="shared" si="14"/>
        <v>38.333333333333336</v>
      </c>
      <c r="AR29" s="36">
        <v>80</v>
      </c>
      <c r="AS29" s="108"/>
      <c r="AT29" s="113">
        <f t="shared" si="15"/>
        <v>80</v>
      </c>
      <c r="AU29" s="179">
        <f t="shared" si="16"/>
        <v>90</v>
      </c>
      <c r="AV29" s="184">
        <f t="shared" si="17"/>
        <v>45</v>
      </c>
      <c r="AW29" s="139">
        <f t="shared" si="25"/>
        <v>93.333333333333343</v>
      </c>
      <c r="AX29" s="113" t="str">
        <f t="shared" si="26"/>
        <v>PASSED</v>
      </c>
      <c r="AZ29" s="151">
        <f t="shared" si="18"/>
        <v>54.824999999999996</v>
      </c>
      <c r="BA29" s="151">
        <f t="shared" si="19"/>
        <v>37.333333333333336</v>
      </c>
      <c r="BB29" s="151">
        <f t="shared" si="20"/>
        <v>92.158333333333331</v>
      </c>
      <c r="BC29" s="24" t="str">
        <f t="shared" si="21"/>
        <v>PASSED</v>
      </c>
    </row>
    <row r="30" spans="1:55" ht="19.2" thickTop="1" thickBot="1" x14ac:dyDescent="0.35">
      <c r="A30" s="19">
        <f>Attendance!A28</f>
        <v>21</v>
      </c>
      <c r="B30" s="71" t="s">
        <v>48</v>
      </c>
      <c r="C30" s="128">
        <f>Attendance!AB28</f>
        <v>3</v>
      </c>
      <c r="D30" s="181">
        <f t="shared" si="22"/>
        <v>100</v>
      </c>
      <c r="E30" s="182">
        <f t="shared" si="0"/>
        <v>5</v>
      </c>
      <c r="F30" s="25">
        <v>35</v>
      </c>
      <c r="G30" s="29"/>
      <c r="H30" s="103"/>
      <c r="I30" s="24">
        <f t="shared" si="23"/>
        <v>35</v>
      </c>
      <c r="J30" s="151">
        <f t="shared" si="1"/>
        <v>85</v>
      </c>
      <c r="K30" s="182">
        <f t="shared" si="2"/>
        <v>12.75</v>
      </c>
      <c r="L30" s="28">
        <v>6</v>
      </c>
      <c r="M30" s="29">
        <v>7</v>
      </c>
      <c r="N30" s="29">
        <v>8</v>
      </c>
      <c r="O30" s="103"/>
      <c r="P30" s="24">
        <f t="shared" si="3"/>
        <v>21</v>
      </c>
      <c r="Q30" s="151">
        <f t="shared" si="4"/>
        <v>76.25</v>
      </c>
      <c r="R30" s="182">
        <f t="shared" si="5"/>
        <v>22.875</v>
      </c>
      <c r="S30" s="106">
        <v>34</v>
      </c>
      <c r="T30" s="151">
        <f t="shared" si="6"/>
        <v>71.25</v>
      </c>
      <c r="U30" s="182">
        <f t="shared" si="7"/>
        <v>35.625</v>
      </c>
      <c r="V30" s="131">
        <f t="shared" si="8"/>
        <v>76.25</v>
      </c>
      <c r="W30" s="27" t="str">
        <f t="shared" si="24"/>
        <v>PASSED</v>
      </c>
      <c r="Z30" s="37">
        <v>3</v>
      </c>
      <c r="AA30" s="19">
        <v>3</v>
      </c>
      <c r="AB30" s="19">
        <v>3</v>
      </c>
      <c r="AC30" s="19"/>
      <c r="AD30" s="19"/>
      <c r="AE30" s="108"/>
      <c r="AF30" s="113">
        <f t="shared" si="9"/>
        <v>9</v>
      </c>
      <c r="AG30" s="179">
        <f t="shared" si="10"/>
        <v>100</v>
      </c>
      <c r="AH30" s="184">
        <f t="shared" si="11"/>
        <v>10</v>
      </c>
      <c r="AI30" s="37">
        <v>90</v>
      </c>
      <c r="AJ30" s="19">
        <v>85</v>
      </c>
      <c r="AK30" s="19">
        <v>0</v>
      </c>
      <c r="AL30" s="19"/>
      <c r="AM30" s="19"/>
      <c r="AN30" s="108"/>
      <c r="AO30" s="113">
        <f t="shared" si="12"/>
        <v>175</v>
      </c>
      <c r="AP30" s="179">
        <f t="shared" si="13"/>
        <v>79.166666666666671</v>
      </c>
      <c r="AQ30" s="184">
        <f t="shared" si="14"/>
        <v>31.666666666666671</v>
      </c>
      <c r="AR30" s="36">
        <v>80</v>
      </c>
      <c r="AS30" s="108"/>
      <c r="AT30" s="113">
        <f t="shared" si="15"/>
        <v>80</v>
      </c>
      <c r="AU30" s="179">
        <f t="shared" si="16"/>
        <v>90</v>
      </c>
      <c r="AV30" s="184">
        <f t="shared" si="17"/>
        <v>45</v>
      </c>
      <c r="AW30" s="139">
        <f t="shared" si="25"/>
        <v>86.666666666666671</v>
      </c>
      <c r="AX30" s="113" t="str">
        <f t="shared" si="26"/>
        <v>PASSED</v>
      </c>
      <c r="AZ30" s="151">
        <f t="shared" si="18"/>
        <v>45.75</v>
      </c>
      <c r="BA30" s="151">
        <f t="shared" si="19"/>
        <v>34.666666666666671</v>
      </c>
      <c r="BB30" s="151">
        <f t="shared" si="20"/>
        <v>80.416666666666671</v>
      </c>
      <c r="BC30" s="24" t="str">
        <f t="shared" si="21"/>
        <v>PASSED</v>
      </c>
    </row>
    <row r="31" spans="1:55" ht="19.2" thickTop="1" thickBot="1" x14ac:dyDescent="0.35">
      <c r="A31" s="19">
        <f>Attendance!A29</f>
        <v>22</v>
      </c>
      <c r="B31" s="71" t="s">
        <v>49</v>
      </c>
      <c r="C31" s="128">
        <f>Attendance!AB29</f>
        <v>3</v>
      </c>
      <c r="D31" s="181">
        <f t="shared" si="22"/>
        <v>100</v>
      </c>
      <c r="E31" s="182">
        <f t="shared" si="0"/>
        <v>5</v>
      </c>
      <c r="F31" s="25">
        <v>35</v>
      </c>
      <c r="G31" s="29"/>
      <c r="H31" s="103"/>
      <c r="I31" s="24">
        <f t="shared" si="23"/>
        <v>35</v>
      </c>
      <c r="J31" s="151">
        <f t="shared" si="1"/>
        <v>85</v>
      </c>
      <c r="K31" s="182">
        <f t="shared" si="2"/>
        <v>12.75</v>
      </c>
      <c r="L31" s="28">
        <v>7</v>
      </c>
      <c r="M31" s="29">
        <v>8</v>
      </c>
      <c r="N31" s="29">
        <v>3</v>
      </c>
      <c r="O31" s="103"/>
      <c r="P31" s="24">
        <f t="shared" si="3"/>
        <v>18</v>
      </c>
      <c r="Q31" s="151">
        <f t="shared" si="4"/>
        <v>72.5</v>
      </c>
      <c r="R31" s="182">
        <f t="shared" si="5"/>
        <v>21.75</v>
      </c>
      <c r="S31" s="106">
        <v>43</v>
      </c>
      <c r="T31" s="151">
        <f t="shared" si="6"/>
        <v>76.875</v>
      </c>
      <c r="U31" s="182">
        <f t="shared" si="7"/>
        <v>38.4375</v>
      </c>
      <c r="V31" s="131">
        <f t="shared" si="8"/>
        <v>77.9375</v>
      </c>
      <c r="W31" s="27" t="str">
        <f t="shared" si="24"/>
        <v>PASSED</v>
      </c>
      <c r="Z31" s="37">
        <v>3</v>
      </c>
      <c r="AA31" s="19">
        <v>3</v>
      </c>
      <c r="AB31" s="19">
        <v>3</v>
      </c>
      <c r="AC31" s="19"/>
      <c r="AD31" s="19"/>
      <c r="AE31" s="108"/>
      <c r="AF31" s="113">
        <f t="shared" si="9"/>
        <v>9</v>
      </c>
      <c r="AG31" s="179">
        <f t="shared" si="10"/>
        <v>100</v>
      </c>
      <c r="AH31" s="184">
        <f t="shared" si="11"/>
        <v>10</v>
      </c>
      <c r="AI31" s="37">
        <v>90</v>
      </c>
      <c r="AJ31" s="19">
        <v>90</v>
      </c>
      <c r="AK31" s="19">
        <v>90</v>
      </c>
      <c r="AL31" s="19"/>
      <c r="AM31" s="19"/>
      <c r="AN31" s="108"/>
      <c r="AO31" s="113">
        <f t="shared" si="12"/>
        <v>270</v>
      </c>
      <c r="AP31" s="179">
        <f t="shared" si="13"/>
        <v>95</v>
      </c>
      <c r="AQ31" s="184">
        <f t="shared" si="14"/>
        <v>38</v>
      </c>
      <c r="AR31" s="36">
        <v>80</v>
      </c>
      <c r="AS31" s="108"/>
      <c r="AT31" s="113">
        <f t="shared" si="15"/>
        <v>80</v>
      </c>
      <c r="AU31" s="179">
        <f t="shared" si="16"/>
        <v>90</v>
      </c>
      <c r="AV31" s="184">
        <f t="shared" si="17"/>
        <v>45</v>
      </c>
      <c r="AW31" s="139">
        <f t="shared" si="25"/>
        <v>93</v>
      </c>
      <c r="AX31" s="113" t="str">
        <f t="shared" si="26"/>
        <v>PASSED</v>
      </c>
      <c r="AZ31" s="151">
        <f t="shared" si="18"/>
        <v>46.762499999999996</v>
      </c>
      <c r="BA31" s="151">
        <f t="shared" si="19"/>
        <v>37.200000000000003</v>
      </c>
      <c r="BB31" s="151">
        <f t="shared" si="20"/>
        <v>83.962500000000006</v>
      </c>
      <c r="BC31" s="24" t="str">
        <f t="shared" si="21"/>
        <v>PASSED</v>
      </c>
    </row>
    <row r="32" spans="1:55" ht="19.2" thickTop="1" thickBot="1" x14ac:dyDescent="0.35">
      <c r="A32" s="19">
        <f>Attendance!A30</f>
        <v>23</v>
      </c>
      <c r="B32" s="71" t="s">
        <v>50</v>
      </c>
      <c r="C32" s="128">
        <f>Attendance!AB30</f>
        <v>3</v>
      </c>
      <c r="D32" s="181">
        <f t="shared" si="22"/>
        <v>100</v>
      </c>
      <c r="E32" s="182">
        <f t="shared" si="0"/>
        <v>5</v>
      </c>
      <c r="F32" s="25">
        <v>35</v>
      </c>
      <c r="G32" s="29"/>
      <c r="H32" s="103"/>
      <c r="I32" s="24">
        <f t="shared" si="23"/>
        <v>35</v>
      </c>
      <c r="J32" s="151">
        <f t="shared" si="1"/>
        <v>85</v>
      </c>
      <c r="K32" s="182">
        <f t="shared" si="2"/>
        <v>12.75</v>
      </c>
      <c r="L32" s="28">
        <v>2</v>
      </c>
      <c r="M32" s="29">
        <v>5</v>
      </c>
      <c r="N32" s="29">
        <v>1</v>
      </c>
      <c r="O32" s="103"/>
      <c r="P32" s="24">
        <f t="shared" si="3"/>
        <v>8</v>
      </c>
      <c r="Q32" s="151">
        <f t="shared" si="4"/>
        <v>60</v>
      </c>
      <c r="R32" s="182">
        <f t="shared" si="5"/>
        <v>18</v>
      </c>
      <c r="S32" s="106">
        <v>45</v>
      </c>
      <c r="T32" s="151">
        <f t="shared" si="6"/>
        <v>78.125</v>
      </c>
      <c r="U32" s="182">
        <f t="shared" si="7"/>
        <v>39.0625</v>
      </c>
      <c r="V32" s="131">
        <f t="shared" si="8"/>
        <v>74.8125</v>
      </c>
      <c r="W32" s="27" t="str">
        <f t="shared" si="24"/>
        <v>PASSED</v>
      </c>
      <c r="Z32" s="37">
        <v>3</v>
      </c>
      <c r="AA32" s="19">
        <v>3</v>
      </c>
      <c r="AB32" s="19">
        <v>3</v>
      </c>
      <c r="AC32" s="19"/>
      <c r="AD32" s="19"/>
      <c r="AE32" s="108"/>
      <c r="AF32" s="113">
        <f t="shared" si="9"/>
        <v>9</v>
      </c>
      <c r="AG32" s="179">
        <f t="shared" si="10"/>
        <v>100</v>
      </c>
      <c r="AH32" s="184">
        <f t="shared" si="11"/>
        <v>10</v>
      </c>
      <c r="AI32" s="37">
        <v>95</v>
      </c>
      <c r="AJ32" s="19">
        <v>90</v>
      </c>
      <c r="AK32" s="19">
        <v>90</v>
      </c>
      <c r="AL32" s="19"/>
      <c r="AM32" s="19"/>
      <c r="AN32" s="108"/>
      <c r="AO32" s="113">
        <f t="shared" si="12"/>
        <v>275</v>
      </c>
      <c r="AP32" s="179">
        <f t="shared" si="13"/>
        <v>95.833333333333329</v>
      </c>
      <c r="AQ32" s="184">
        <f t="shared" si="14"/>
        <v>38.333333333333336</v>
      </c>
      <c r="AR32" s="36">
        <v>80</v>
      </c>
      <c r="AS32" s="108"/>
      <c r="AT32" s="113">
        <f t="shared" si="15"/>
        <v>80</v>
      </c>
      <c r="AU32" s="179">
        <f t="shared" si="16"/>
        <v>90</v>
      </c>
      <c r="AV32" s="184">
        <f t="shared" si="17"/>
        <v>45</v>
      </c>
      <c r="AW32" s="139">
        <f t="shared" si="25"/>
        <v>93.333333333333343</v>
      </c>
      <c r="AX32" s="113" t="str">
        <f t="shared" si="26"/>
        <v>PASSED</v>
      </c>
      <c r="AZ32" s="151">
        <f t="shared" si="18"/>
        <v>44.887499999999996</v>
      </c>
      <c r="BA32" s="151">
        <f t="shared" si="19"/>
        <v>37.333333333333336</v>
      </c>
      <c r="BB32" s="151">
        <f t="shared" si="20"/>
        <v>82.220833333333331</v>
      </c>
      <c r="BC32" s="24" t="str">
        <f t="shared" si="21"/>
        <v>PASSED</v>
      </c>
    </row>
    <row r="33" spans="1:55" ht="19.2" thickTop="1" thickBot="1" x14ac:dyDescent="0.35">
      <c r="A33" s="19">
        <f>Attendance!A31</f>
        <v>24</v>
      </c>
      <c r="B33" s="71" t="s">
        <v>51</v>
      </c>
      <c r="C33" s="128">
        <f>Attendance!AB31</f>
        <v>3</v>
      </c>
      <c r="D33" s="181">
        <f t="shared" si="22"/>
        <v>100</v>
      </c>
      <c r="E33" s="182">
        <f t="shared" si="0"/>
        <v>5</v>
      </c>
      <c r="F33" s="25">
        <v>35</v>
      </c>
      <c r="G33" s="29"/>
      <c r="H33" s="103"/>
      <c r="I33" s="24">
        <f t="shared" si="23"/>
        <v>35</v>
      </c>
      <c r="J33" s="151">
        <f t="shared" si="1"/>
        <v>85</v>
      </c>
      <c r="K33" s="182">
        <f t="shared" si="2"/>
        <v>12.75</v>
      </c>
      <c r="L33" s="28">
        <v>12</v>
      </c>
      <c r="M33" s="29">
        <v>14</v>
      </c>
      <c r="N33" s="29">
        <v>8</v>
      </c>
      <c r="O33" s="103"/>
      <c r="P33" s="24">
        <f t="shared" si="3"/>
        <v>34</v>
      </c>
      <c r="Q33" s="151">
        <f t="shared" si="4"/>
        <v>92.5</v>
      </c>
      <c r="R33" s="182">
        <f t="shared" si="5"/>
        <v>27.75</v>
      </c>
      <c r="S33" s="106">
        <v>72</v>
      </c>
      <c r="T33" s="151">
        <f t="shared" si="6"/>
        <v>95</v>
      </c>
      <c r="U33" s="182">
        <f t="shared" si="7"/>
        <v>47.5</v>
      </c>
      <c r="V33" s="131">
        <f t="shared" si="8"/>
        <v>93</v>
      </c>
      <c r="W33" s="27" t="str">
        <f t="shared" si="24"/>
        <v>PASSED</v>
      </c>
      <c r="Z33" s="37">
        <v>3</v>
      </c>
      <c r="AA33" s="19">
        <v>3</v>
      </c>
      <c r="AB33" s="19">
        <v>3</v>
      </c>
      <c r="AC33" s="19"/>
      <c r="AD33" s="19"/>
      <c r="AE33" s="108"/>
      <c r="AF33" s="113">
        <f t="shared" si="9"/>
        <v>9</v>
      </c>
      <c r="AG33" s="179">
        <f t="shared" si="10"/>
        <v>100</v>
      </c>
      <c r="AH33" s="184">
        <f t="shared" si="11"/>
        <v>10</v>
      </c>
      <c r="AI33" s="37">
        <v>100</v>
      </c>
      <c r="AJ33" s="19">
        <v>98</v>
      </c>
      <c r="AK33" s="19">
        <v>100</v>
      </c>
      <c r="AL33" s="19"/>
      <c r="AM33" s="19"/>
      <c r="AN33" s="108"/>
      <c r="AO33" s="113">
        <f t="shared" si="12"/>
        <v>298</v>
      </c>
      <c r="AP33" s="179">
        <f t="shared" si="13"/>
        <v>99.666666666666657</v>
      </c>
      <c r="AQ33" s="184">
        <f t="shared" si="14"/>
        <v>39.866666666666667</v>
      </c>
      <c r="AR33" s="36">
        <v>80</v>
      </c>
      <c r="AS33" s="108"/>
      <c r="AT33" s="113">
        <f t="shared" si="15"/>
        <v>80</v>
      </c>
      <c r="AU33" s="179">
        <f t="shared" si="16"/>
        <v>90</v>
      </c>
      <c r="AV33" s="184">
        <f t="shared" si="17"/>
        <v>45</v>
      </c>
      <c r="AW33" s="139">
        <f t="shared" si="25"/>
        <v>94.866666666666674</v>
      </c>
      <c r="AX33" s="113" t="str">
        <f t="shared" si="26"/>
        <v>PASSED</v>
      </c>
      <c r="AZ33" s="151">
        <f t="shared" si="18"/>
        <v>55.8</v>
      </c>
      <c r="BA33" s="151">
        <f t="shared" si="19"/>
        <v>37.946666666666673</v>
      </c>
      <c r="BB33" s="151">
        <f t="shared" si="20"/>
        <v>93.74666666666667</v>
      </c>
      <c r="BC33" s="24" t="str">
        <f t="shared" si="21"/>
        <v>PASSED</v>
      </c>
    </row>
    <row r="34" spans="1:55" ht="19.2" thickTop="1" thickBot="1" x14ac:dyDescent="0.35">
      <c r="A34" s="19">
        <f>Attendance!A32</f>
        <v>25</v>
      </c>
      <c r="B34" s="71" t="s">
        <v>52</v>
      </c>
      <c r="C34" s="128">
        <f>Attendance!AB32</f>
        <v>3</v>
      </c>
      <c r="D34" s="181">
        <f t="shared" si="22"/>
        <v>100</v>
      </c>
      <c r="E34" s="182">
        <f t="shared" si="0"/>
        <v>5</v>
      </c>
      <c r="F34" s="25">
        <v>35</v>
      </c>
      <c r="G34" s="29"/>
      <c r="H34" s="103"/>
      <c r="I34" s="24">
        <f t="shared" si="23"/>
        <v>35</v>
      </c>
      <c r="J34" s="151">
        <f t="shared" si="1"/>
        <v>85</v>
      </c>
      <c r="K34" s="182">
        <f t="shared" si="2"/>
        <v>12.75</v>
      </c>
      <c r="L34" s="28">
        <v>9</v>
      </c>
      <c r="M34" s="29">
        <v>14</v>
      </c>
      <c r="N34" s="29">
        <v>10</v>
      </c>
      <c r="O34" s="103"/>
      <c r="P34" s="24">
        <f t="shared" si="3"/>
        <v>33</v>
      </c>
      <c r="Q34" s="151">
        <f t="shared" si="4"/>
        <v>91.25</v>
      </c>
      <c r="R34" s="182">
        <f t="shared" si="5"/>
        <v>27.375</v>
      </c>
      <c r="S34" s="106">
        <v>57</v>
      </c>
      <c r="T34" s="151">
        <f t="shared" si="6"/>
        <v>85.625</v>
      </c>
      <c r="U34" s="182">
        <f t="shared" si="7"/>
        <v>42.8125</v>
      </c>
      <c r="V34" s="131">
        <f t="shared" si="8"/>
        <v>87.9375</v>
      </c>
      <c r="W34" s="27" t="str">
        <f t="shared" si="24"/>
        <v>PASSED</v>
      </c>
      <c r="Z34" s="37">
        <v>3</v>
      </c>
      <c r="AA34" s="19">
        <v>3</v>
      </c>
      <c r="AB34" s="19">
        <v>3</v>
      </c>
      <c r="AC34" s="19"/>
      <c r="AD34" s="19"/>
      <c r="AE34" s="108"/>
      <c r="AF34" s="113">
        <f t="shared" si="9"/>
        <v>9</v>
      </c>
      <c r="AG34" s="179">
        <f t="shared" si="10"/>
        <v>100</v>
      </c>
      <c r="AH34" s="184">
        <f t="shared" si="11"/>
        <v>10</v>
      </c>
      <c r="AI34" s="37">
        <v>100</v>
      </c>
      <c r="AJ34" s="19">
        <v>95</v>
      </c>
      <c r="AK34" s="19">
        <v>95</v>
      </c>
      <c r="AL34" s="19"/>
      <c r="AM34" s="19"/>
      <c r="AN34" s="108"/>
      <c r="AO34" s="113">
        <f t="shared" si="12"/>
        <v>290</v>
      </c>
      <c r="AP34" s="179">
        <f t="shared" si="13"/>
        <v>98.333333333333343</v>
      </c>
      <c r="AQ34" s="184">
        <f t="shared" si="14"/>
        <v>39.333333333333343</v>
      </c>
      <c r="AR34" s="36">
        <v>80</v>
      </c>
      <c r="AS34" s="108"/>
      <c r="AT34" s="113">
        <f t="shared" si="15"/>
        <v>80</v>
      </c>
      <c r="AU34" s="179">
        <f t="shared" si="16"/>
        <v>90</v>
      </c>
      <c r="AV34" s="184">
        <f t="shared" si="17"/>
        <v>45</v>
      </c>
      <c r="AW34" s="139">
        <f t="shared" si="25"/>
        <v>94.333333333333343</v>
      </c>
      <c r="AX34" s="113" t="str">
        <f t="shared" si="26"/>
        <v>PASSED</v>
      </c>
      <c r="AZ34" s="151">
        <f t="shared" si="18"/>
        <v>52.762499999999996</v>
      </c>
      <c r="BA34" s="151">
        <f t="shared" si="19"/>
        <v>37.733333333333341</v>
      </c>
      <c r="BB34" s="151">
        <f t="shared" si="20"/>
        <v>90.495833333333337</v>
      </c>
      <c r="BC34" s="24" t="str">
        <f t="shared" si="21"/>
        <v>PASSED</v>
      </c>
    </row>
    <row r="35" spans="1:55" ht="19.2" thickTop="1" thickBot="1" x14ac:dyDescent="0.35">
      <c r="A35" s="19">
        <f>Attendance!A33</f>
        <v>26</v>
      </c>
      <c r="B35" s="71" t="s">
        <v>53</v>
      </c>
      <c r="C35" s="128">
        <f>Attendance!AB33</f>
        <v>0</v>
      </c>
      <c r="D35" s="181">
        <f t="shared" si="22"/>
        <v>50</v>
      </c>
      <c r="E35" s="182">
        <f t="shared" si="0"/>
        <v>2.5</v>
      </c>
      <c r="F35" s="25">
        <v>35</v>
      </c>
      <c r="G35" s="29"/>
      <c r="H35" s="103"/>
      <c r="I35" s="24">
        <f t="shared" si="23"/>
        <v>35</v>
      </c>
      <c r="J35" s="151">
        <f t="shared" si="1"/>
        <v>85</v>
      </c>
      <c r="K35" s="182">
        <f t="shared" si="2"/>
        <v>12.75</v>
      </c>
      <c r="L35" s="28">
        <v>0</v>
      </c>
      <c r="M35" s="29">
        <v>0</v>
      </c>
      <c r="N35" s="29">
        <v>0</v>
      </c>
      <c r="O35" s="103"/>
      <c r="P35" s="24">
        <f t="shared" si="3"/>
        <v>0</v>
      </c>
      <c r="Q35" s="151">
        <f t="shared" si="4"/>
        <v>50</v>
      </c>
      <c r="R35" s="182">
        <f t="shared" si="5"/>
        <v>15</v>
      </c>
      <c r="S35" s="106">
        <v>0</v>
      </c>
      <c r="T35" s="151">
        <f t="shared" si="6"/>
        <v>50</v>
      </c>
      <c r="U35" s="182">
        <f t="shared" si="7"/>
        <v>25</v>
      </c>
      <c r="V35" s="131">
        <f t="shared" si="8"/>
        <v>55.25</v>
      </c>
      <c r="W35" s="27" t="str">
        <f t="shared" si="24"/>
        <v>FAILED</v>
      </c>
      <c r="Z35" s="37">
        <v>0</v>
      </c>
      <c r="AA35" s="19">
        <v>0</v>
      </c>
      <c r="AB35" s="19">
        <v>0</v>
      </c>
      <c r="AC35" s="19"/>
      <c r="AD35" s="19"/>
      <c r="AE35" s="108"/>
      <c r="AF35" s="113">
        <f t="shared" si="9"/>
        <v>0</v>
      </c>
      <c r="AG35" s="179">
        <f t="shared" si="10"/>
        <v>50</v>
      </c>
      <c r="AH35" s="184">
        <f t="shared" si="11"/>
        <v>5</v>
      </c>
      <c r="AI35" s="37">
        <v>0</v>
      </c>
      <c r="AJ35" s="19">
        <v>0</v>
      </c>
      <c r="AK35" s="19">
        <v>0</v>
      </c>
      <c r="AL35" s="19"/>
      <c r="AM35" s="19"/>
      <c r="AN35" s="108"/>
      <c r="AO35" s="113">
        <f t="shared" si="12"/>
        <v>0</v>
      </c>
      <c r="AP35" s="179">
        <f t="shared" si="13"/>
        <v>50</v>
      </c>
      <c r="AQ35" s="184">
        <f t="shared" si="14"/>
        <v>20</v>
      </c>
      <c r="AR35" s="36">
        <v>80</v>
      </c>
      <c r="AS35" s="108"/>
      <c r="AT35" s="113">
        <f t="shared" si="15"/>
        <v>80</v>
      </c>
      <c r="AU35" s="179">
        <f t="shared" si="16"/>
        <v>90</v>
      </c>
      <c r="AV35" s="184">
        <f t="shared" si="17"/>
        <v>45</v>
      </c>
      <c r="AW35" s="139">
        <f t="shared" si="25"/>
        <v>70</v>
      </c>
      <c r="AX35" s="113" t="str">
        <f t="shared" si="26"/>
        <v>FAILED</v>
      </c>
      <c r="AZ35" s="151">
        <f t="shared" si="18"/>
        <v>33.15</v>
      </c>
      <c r="BA35" s="151">
        <f t="shared" si="19"/>
        <v>28</v>
      </c>
      <c r="BB35" s="151">
        <f t="shared" si="20"/>
        <v>61.15</v>
      </c>
      <c r="BC35" s="24" t="str">
        <f t="shared" si="21"/>
        <v>FAILED</v>
      </c>
    </row>
    <row r="36" spans="1:55" ht="19.2" thickTop="1" thickBot="1" x14ac:dyDescent="0.35">
      <c r="A36" s="19">
        <f>Attendance!A34</f>
        <v>27</v>
      </c>
      <c r="B36" s="71" t="s">
        <v>54</v>
      </c>
      <c r="C36" s="128">
        <f>Attendance!AB34</f>
        <v>3</v>
      </c>
      <c r="D36" s="181">
        <f t="shared" si="22"/>
        <v>100</v>
      </c>
      <c r="E36" s="182">
        <f t="shared" si="0"/>
        <v>5</v>
      </c>
      <c r="F36" s="25">
        <v>35</v>
      </c>
      <c r="G36" s="29"/>
      <c r="H36" s="103"/>
      <c r="I36" s="24">
        <f t="shared" si="23"/>
        <v>35</v>
      </c>
      <c r="J36" s="151">
        <f t="shared" si="1"/>
        <v>85</v>
      </c>
      <c r="K36" s="182">
        <f t="shared" si="2"/>
        <v>12.75</v>
      </c>
      <c r="L36" s="28">
        <v>5</v>
      </c>
      <c r="M36" s="29">
        <v>8</v>
      </c>
      <c r="N36" s="29">
        <v>3</v>
      </c>
      <c r="O36" s="103"/>
      <c r="P36" s="24">
        <f t="shared" si="3"/>
        <v>16</v>
      </c>
      <c r="Q36" s="151">
        <f t="shared" si="4"/>
        <v>70</v>
      </c>
      <c r="R36" s="182">
        <f t="shared" si="5"/>
        <v>21</v>
      </c>
      <c r="S36" s="106">
        <v>38</v>
      </c>
      <c r="T36" s="151">
        <f t="shared" si="6"/>
        <v>73.75</v>
      </c>
      <c r="U36" s="182">
        <f t="shared" si="7"/>
        <v>36.875</v>
      </c>
      <c r="V36" s="131">
        <f t="shared" si="8"/>
        <v>75.625</v>
      </c>
      <c r="W36" s="27" t="str">
        <f t="shared" si="24"/>
        <v>PASSED</v>
      </c>
      <c r="Z36" s="37">
        <v>0</v>
      </c>
      <c r="AA36" s="19">
        <v>0</v>
      </c>
      <c r="AB36" s="19">
        <v>0</v>
      </c>
      <c r="AC36" s="19"/>
      <c r="AD36" s="19"/>
      <c r="AE36" s="108"/>
      <c r="AF36" s="113">
        <f t="shared" si="9"/>
        <v>0</v>
      </c>
      <c r="AG36" s="179">
        <f t="shared" si="10"/>
        <v>50</v>
      </c>
      <c r="AH36" s="184">
        <f t="shared" si="11"/>
        <v>5</v>
      </c>
      <c r="AI36" s="37">
        <v>0</v>
      </c>
      <c r="AJ36" s="19">
        <v>0</v>
      </c>
      <c r="AK36" s="19">
        <v>0</v>
      </c>
      <c r="AL36" s="19"/>
      <c r="AM36" s="19"/>
      <c r="AN36" s="108"/>
      <c r="AO36" s="113">
        <f t="shared" si="12"/>
        <v>0</v>
      </c>
      <c r="AP36" s="179">
        <f t="shared" si="13"/>
        <v>50</v>
      </c>
      <c r="AQ36" s="184">
        <f t="shared" si="14"/>
        <v>20</v>
      </c>
      <c r="AR36" s="36">
        <v>80</v>
      </c>
      <c r="AS36" s="108"/>
      <c r="AT36" s="113">
        <f t="shared" si="15"/>
        <v>80</v>
      </c>
      <c r="AU36" s="179">
        <f t="shared" si="16"/>
        <v>90</v>
      </c>
      <c r="AV36" s="184">
        <f t="shared" si="17"/>
        <v>45</v>
      </c>
      <c r="AW36" s="139">
        <f t="shared" si="25"/>
        <v>70</v>
      </c>
      <c r="AX36" s="113" t="str">
        <f t="shared" si="26"/>
        <v>FAILED</v>
      </c>
      <c r="AZ36" s="151">
        <f t="shared" si="18"/>
        <v>45.375</v>
      </c>
      <c r="BA36" s="151">
        <f t="shared" si="19"/>
        <v>28</v>
      </c>
      <c r="BB36" s="151">
        <f t="shared" si="20"/>
        <v>73.375</v>
      </c>
      <c r="BC36" s="24" t="str">
        <f t="shared" si="21"/>
        <v>FAILED</v>
      </c>
    </row>
    <row r="37" spans="1:55" ht="19.2" thickTop="1" thickBot="1" x14ac:dyDescent="0.35">
      <c r="A37" s="19">
        <f>Attendance!A35</f>
        <v>28</v>
      </c>
      <c r="B37" s="71" t="s">
        <v>55</v>
      </c>
      <c r="C37" s="128">
        <f>Attendance!AB35</f>
        <v>3</v>
      </c>
      <c r="D37" s="181">
        <f t="shared" si="22"/>
        <v>100</v>
      </c>
      <c r="E37" s="182">
        <f t="shared" si="0"/>
        <v>5</v>
      </c>
      <c r="F37" s="25">
        <v>35</v>
      </c>
      <c r="G37" s="29"/>
      <c r="H37" s="103"/>
      <c r="I37" s="24">
        <f t="shared" si="23"/>
        <v>35</v>
      </c>
      <c r="J37" s="151">
        <f t="shared" si="1"/>
        <v>85</v>
      </c>
      <c r="K37" s="182">
        <f t="shared" si="2"/>
        <v>12.75</v>
      </c>
      <c r="L37" s="28">
        <v>9</v>
      </c>
      <c r="M37" s="29">
        <v>5</v>
      </c>
      <c r="N37" s="29">
        <v>6</v>
      </c>
      <c r="O37" s="103"/>
      <c r="P37" s="24">
        <f t="shared" si="3"/>
        <v>20</v>
      </c>
      <c r="Q37" s="151">
        <f t="shared" si="4"/>
        <v>75</v>
      </c>
      <c r="R37" s="182">
        <f t="shared" si="5"/>
        <v>22.5</v>
      </c>
      <c r="S37" s="106">
        <v>53</v>
      </c>
      <c r="T37" s="151">
        <f t="shared" si="6"/>
        <v>83.125</v>
      </c>
      <c r="U37" s="182">
        <f t="shared" si="7"/>
        <v>41.5625</v>
      </c>
      <c r="V37" s="131">
        <f t="shared" si="8"/>
        <v>81.8125</v>
      </c>
      <c r="W37" s="27" t="str">
        <f t="shared" si="24"/>
        <v>PASSED</v>
      </c>
      <c r="Z37" s="37">
        <v>0</v>
      </c>
      <c r="AA37" s="19">
        <v>0</v>
      </c>
      <c r="AB37" s="19">
        <v>0</v>
      </c>
      <c r="AC37" s="19"/>
      <c r="AD37" s="19"/>
      <c r="AE37" s="108"/>
      <c r="AF37" s="113">
        <f t="shared" si="9"/>
        <v>0</v>
      </c>
      <c r="AG37" s="179">
        <f t="shared" si="10"/>
        <v>50</v>
      </c>
      <c r="AH37" s="184">
        <f t="shared" si="11"/>
        <v>5</v>
      </c>
      <c r="AI37" s="37">
        <v>0</v>
      </c>
      <c r="AJ37" s="19">
        <v>0</v>
      </c>
      <c r="AK37" s="19">
        <v>0</v>
      </c>
      <c r="AL37" s="19"/>
      <c r="AM37" s="19"/>
      <c r="AN37" s="108"/>
      <c r="AO37" s="113">
        <f t="shared" si="12"/>
        <v>0</v>
      </c>
      <c r="AP37" s="179">
        <f t="shared" si="13"/>
        <v>50</v>
      </c>
      <c r="AQ37" s="184">
        <f t="shared" si="14"/>
        <v>20</v>
      </c>
      <c r="AR37" s="36">
        <v>80</v>
      </c>
      <c r="AS37" s="108"/>
      <c r="AT37" s="113">
        <f t="shared" si="15"/>
        <v>80</v>
      </c>
      <c r="AU37" s="179">
        <f t="shared" si="16"/>
        <v>90</v>
      </c>
      <c r="AV37" s="184">
        <f t="shared" si="17"/>
        <v>45</v>
      </c>
      <c r="AW37" s="139">
        <f t="shared" si="25"/>
        <v>70</v>
      </c>
      <c r="AX37" s="113" t="str">
        <f t="shared" si="26"/>
        <v>FAILED</v>
      </c>
      <c r="AZ37" s="151">
        <f t="shared" si="18"/>
        <v>49.087499999999999</v>
      </c>
      <c r="BA37" s="151">
        <f t="shared" si="19"/>
        <v>28</v>
      </c>
      <c r="BB37" s="151">
        <f t="shared" si="20"/>
        <v>77.087500000000006</v>
      </c>
      <c r="BC37" s="24" t="str">
        <f t="shared" si="21"/>
        <v>PASSED</v>
      </c>
    </row>
    <row r="38" spans="1:55" ht="19.2" thickTop="1" thickBot="1" x14ac:dyDescent="0.35">
      <c r="A38" s="19">
        <f>Attendance!A36</f>
        <v>29</v>
      </c>
      <c r="B38" s="71" t="s">
        <v>56</v>
      </c>
      <c r="C38" s="128">
        <f>Attendance!AB36</f>
        <v>3</v>
      </c>
      <c r="D38" s="181">
        <f t="shared" si="22"/>
        <v>100</v>
      </c>
      <c r="E38" s="182">
        <f t="shared" si="0"/>
        <v>5</v>
      </c>
      <c r="F38" s="25">
        <v>35</v>
      </c>
      <c r="G38" s="29"/>
      <c r="H38" s="103"/>
      <c r="I38" s="24">
        <f t="shared" si="23"/>
        <v>35</v>
      </c>
      <c r="J38" s="151">
        <f t="shared" si="1"/>
        <v>85</v>
      </c>
      <c r="K38" s="182">
        <f t="shared" si="2"/>
        <v>12.75</v>
      </c>
      <c r="L38" s="28">
        <v>9</v>
      </c>
      <c r="M38" s="29">
        <v>14</v>
      </c>
      <c r="N38" s="29">
        <v>5</v>
      </c>
      <c r="O38" s="103"/>
      <c r="P38" s="24">
        <f t="shared" si="3"/>
        <v>28</v>
      </c>
      <c r="Q38" s="151">
        <f t="shared" si="4"/>
        <v>85</v>
      </c>
      <c r="R38" s="182">
        <f t="shared" si="5"/>
        <v>25.5</v>
      </c>
      <c r="S38" s="106">
        <v>60</v>
      </c>
      <c r="T38" s="151">
        <f t="shared" si="6"/>
        <v>87.5</v>
      </c>
      <c r="U38" s="182">
        <f t="shared" si="7"/>
        <v>43.75</v>
      </c>
      <c r="V38" s="131">
        <f t="shared" si="8"/>
        <v>87</v>
      </c>
      <c r="W38" s="27" t="str">
        <f t="shared" si="24"/>
        <v>PASSED</v>
      </c>
      <c r="Z38" s="37">
        <v>3</v>
      </c>
      <c r="AA38" s="19">
        <v>3</v>
      </c>
      <c r="AB38" s="19">
        <v>3</v>
      </c>
      <c r="AC38" s="19"/>
      <c r="AD38" s="19"/>
      <c r="AE38" s="108"/>
      <c r="AF38" s="113">
        <f t="shared" si="9"/>
        <v>9</v>
      </c>
      <c r="AG38" s="179">
        <f t="shared" si="10"/>
        <v>100</v>
      </c>
      <c r="AH38" s="184">
        <f t="shared" si="11"/>
        <v>10</v>
      </c>
      <c r="AI38" s="37">
        <v>90</v>
      </c>
      <c r="AJ38" s="19">
        <v>90</v>
      </c>
      <c r="AK38" s="19">
        <v>85</v>
      </c>
      <c r="AL38" s="19"/>
      <c r="AM38" s="19"/>
      <c r="AN38" s="108"/>
      <c r="AO38" s="113">
        <f t="shared" si="12"/>
        <v>265</v>
      </c>
      <c r="AP38" s="179">
        <f t="shared" si="13"/>
        <v>94.166666666666657</v>
      </c>
      <c r="AQ38" s="184">
        <f t="shared" si="14"/>
        <v>37.666666666666664</v>
      </c>
      <c r="AR38" s="36">
        <v>80</v>
      </c>
      <c r="AS38" s="108"/>
      <c r="AT38" s="113">
        <f t="shared" si="15"/>
        <v>80</v>
      </c>
      <c r="AU38" s="179">
        <f t="shared" si="16"/>
        <v>90</v>
      </c>
      <c r="AV38" s="184">
        <f t="shared" si="17"/>
        <v>45</v>
      </c>
      <c r="AW38" s="139">
        <f t="shared" si="25"/>
        <v>92.666666666666657</v>
      </c>
      <c r="AX38" s="113" t="str">
        <f t="shared" si="26"/>
        <v>PASSED</v>
      </c>
      <c r="AZ38" s="151">
        <f t="shared" si="18"/>
        <v>52.199999999999996</v>
      </c>
      <c r="BA38" s="151">
        <f t="shared" si="19"/>
        <v>37.066666666666663</v>
      </c>
      <c r="BB38" s="151">
        <f t="shared" si="20"/>
        <v>89.266666666666652</v>
      </c>
      <c r="BC38" s="24" t="str">
        <f t="shared" si="21"/>
        <v>PASSED</v>
      </c>
    </row>
    <row r="39" spans="1:55" ht="19.2" thickTop="1" thickBot="1" x14ac:dyDescent="0.35">
      <c r="A39" s="19">
        <f>Attendance!A37</f>
        <v>30</v>
      </c>
      <c r="B39" s="71" t="s">
        <v>57</v>
      </c>
      <c r="C39" s="128">
        <f>Attendance!AB37</f>
        <v>3</v>
      </c>
      <c r="D39" s="181">
        <f t="shared" si="22"/>
        <v>100</v>
      </c>
      <c r="E39" s="182">
        <f t="shared" si="0"/>
        <v>5</v>
      </c>
      <c r="F39" s="25">
        <v>35</v>
      </c>
      <c r="G39" s="29"/>
      <c r="H39" s="103"/>
      <c r="I39" s="24">
        <f t="shared" si="23"/>
        <v>35</v>
      </c>
      <c r="J39" s="151">
        <f t="shared" si="1"/>
        <v>85</v>
      </c>
      <c r="K39" s="182">
        <f t="shared" si="2"/>
        <v>12.75</v>
      </c>
      <c r="L39" s="28">
        <v>10</v>
      </c>
      <c r="M39" s="29">
        <v>14</v>
      </c>
      <c r="N39" s="29">
        <v>9</v>
      </c>
      <c r="O39" s="103"/>
      <c r="P39" s="24">
        <f t="shared" si="3"/>
        <v>33</v>
      </c>
      <c r="Q39" s="151">
        <f t="shared" si="4"/>
        <v>91.25</v>
      </c>
      <c r="R39" s="182">
        <f t="shared" si="5"/>
        <v>27.375</v>
      </c>
      <c r="S39" s="106">
        <v>52</v>
      </c>
      <c r="T39" s="151">
        <f t="shared" si="6"/>
        <v>82.5</v>
      </c>
      <c r="U39" s="182">
        <f t="shared" si="7"/>
        <v>41.25</v>
      </c>
      <c r="V39" s="131">
        <f t="shared" si="8"/>
        <v>86.375</v>
      </c>
      <c r="W39" s="27" t="str">
        <f t="shared" si="24"/>
        <v>PASSED</v>
      </c>
      <c r="Z39" s="37">
        <v>0</v>
      </c>
      <c r="AA39" s="19">
        <v>0</v>
      </c>
      <c r="AB39" s="19">
        <v>0</v>
      </c>
      <c r="AC39" s="19"/>
      <c r="AD39" s="19"/>
      <c r="AE39" s="108"/>
      <c r="AF39" s="113">
        <f t="shared" si="9"/>
        <v>0</v>
      </c>
      <c r="AG39" s="179">
        <f t="shared" si="10"/>
        <v>50</v>
      </c>
      <c r="AH39" s="184">
        <f t="shared" si="11"/>
        <v>5</v>
      </c>
      <c r="AI39" s="37">
        <v>0</v>
      </c>
      <c r="AJ39" s="19">
        <v>0</v>
      </c>
      <c r="AK39" s="19">
        <v>0</v>
      </c>
      <c r="AL39" s="19"/>
      <c r="AM39" s="19"/>
      <c r="AN39" s="108"/>
      <c r="AO39" s="113">
        <f t="shared" si="12"/>
        <v>0</v>
      </c>
      <c r="AP39" s="179">
        <f t="shared" si="13"/>
        <v>50</v>
      </c>
      <c r="AQ39" s="184">
        <f t="shared" si="14"/>
        <v>20</v>
      </c>
      <c r="AR39" s="36">
        <v>80</v>
      </c>
      <c r="AS39" s="108"/>
      <c r="AT39" s="113">
        <f t="shared" si="15"/>
        <v>80</v>
      </c>
      <c r="AU39" s="179">
        <f t="shared" si="16"/>
        <v>90</v>
      </c>
      <c r="AV39" s="184">
        <f t="shared" si="17"/>
        <v>45</v>
      </c>
      <c r="AW39" s="139">
        <f t="shared" si="25"/>
        <v>70</v>
      </c>
      <c r="AX39" s="113" t="str">
        <f t="shared" si="26"/>
        <v>FAILED</v>
      </c>
      <c r="AZ39" s="151">
        <f t="shared" si="18"/>
        <v>51.824999999999996</v>
      </c>
      <c r="BA39" s="151">
        <f t="shared" si="19"/>
        <v>28</v>
      </c>
      <c r="BB39" s="151">
        <f t="shared" si="20"/>
        <v>79.824999999999989</v>
      </c>
      <c r="BC39" s="24" t="str">
        <f t="shared" si="21"/>
        <v>PASSED</v>
      </c>
    </row>
    <row r="40" spans="1:55" ht="19.2" thickTop="1" thickBot="1" x14ac:dyDescent="0.35">
      <c r="A40" s="19">
        <f>Attendance!A38</f>
        <v>31</v>
      </c>
      <c r="B40" s="71" t="s">
        <v>58</v>
      </c>
      <c r="C40" s="128">
        <f>Attendance!AB38</f>
        <v>3</v>
      </c>
      <c r="D40" s="181">
        <f t="shared" si="22"/>
        <v>100</v>
      </c>
      <c r="E40" s="182">
        <f t="shared" si="0"/>
        <v>5</v>
      </c>
      <c r="F40" s="25">
        <v>35</v>
      </c>
      <c r="G40" s="29"/>
      <c r="H40" s="103"/>
      <c r="I40" s="24">
        <f t="shared" si="23"/>
        <v>35</v>
      </c>
      <c r="J40" s="151">
        <f t="shared" si="1"/>
        <v>85</v>
      </c>
      <c r="K40" s="182">
        <f t="shared" si="2"/>
        <v>12.75</v>
      </c>
      <c r="L40" s="28">
        <v>8</v>
      </c>
      <c r="M40" s="29">
        <v>9</v>
      </c>
      <c r="N40" s="29">
        <v>9</v>
      </c>
      <c r="O40" s="103"/>
      <c r="P40" s="24">
        <f t="shared" si="3"/>
        <v>26</v>
      </c>
      <c r="Q40" s="151">
        <f t="shared" si="4"/>
        <v>82.5</v>
      </c>
      <c r="R40" s="182">
        <f t="shared" si="5"/>
        <v>24.75</v>
      </c>
      <c r="S40" s="106">
        <v>56</v>
      </c>
      <c r="T40" s="151">
        <f t="shared" si="6"/>
        <v>85</v>
      </c>
      <c r="U40" s="182">
        <f t="shared" si="7"/>
        <v>42.5</v>
      </c>
      <c r="V40" s="131">
        <f t="shared" si="8"/>
        <v>85</v>
      </c>
      <c r="W40" s="27" t="str">
        <f t="shared" si="24"/>
        <v>PASSED</v>
      </c>
      <c r="Z40" s="37">
        <v>3</v>
      </c>
      <c r="AA40" s="19">
        <v>3</v>
      </c>
      <c r="AB40" s="19">
        <v>3</v>
      </c>
      <c r="AC40" s="19"/>
      <c r="AD40" s="19"/>
      <c r="AE40" s="108"/>
      <c r="AF40" s="113">
        <f t="shared" si="9"/>
        <v>9</v>
      </c>
      <c r="AG40" s="179">
        <f t="shared" si="10"/>
        <v>100</v>
      </c>
      <c r="AH40" s="184">
        <f t="shared" si="11"/>
        <v>10</v>
      </c>
      <c r="AI40" s="37">
        <v>95</v>
      </c>
      <c r="AJ40" s="19">
        <v>90</v>
      </c>
      <c r="AK40" s="19">
        <v>85</v>
      </c>
      <c r="AL40" s="19"/>
      <c r="AM40" s="19"/>
      <c r="AN40" s="108"/>
      <c r="AO40" s="113">
        <f t="shared" si="12"/>
        <v>270</v>
      </c>
      <c r="AP40" s="179">
        <f t="shared" si="13"/>
        <v>95</v>
      </c>
      <c r="AQ40" s="184">
        <f t="shared" si="14"/>
        <v>38</v>
      </c>
      <c r="AR40" s="36">
        <v>80</v>
      </c>
      <c r="AS40" s="108"/>
      <c r="AT40" s="113">
        <f t="shared" si="15"/>
        <v>80</v>
      </c>
      <c r="AU40" s="179">
        <f t="shared" si="16"/>
        <v>90</v>
      </c>
      <c r="AV40" s="184">
        <f t="shared" si="17"/>
        <v>45</v>
      </c>
      <c r="AW40" s="139">
        <f t="shared" si="25"/>
        <v>93</v>
      </c>
      <c r="AX40" s="113" t="str">
        <f t="shared" si="26"/>
        <v>PASSED</v>
      </c>
      <c r="AZ40" s="151">
        <f t="shared" si="18"/>
        <v>51</v>
      </c>
      <c r="BA40" s="151">
        <f t="shared" si="19"/>
        <v>37.200000000000003</v>
      </c>
      <c r="BB40" s="151">
        <f t="shared" si="20"/>
        <v>88.2</v>
      </c>
      <c r="BC40" s="24" t="str">
        <f t="shared" si="21"/>
        <v>PASSED</v>
      </c>
    </row>
    <row r="41" spans="1:55" ht="19.2" thickTop="1" thickBot="1" x14ac:dyDescent="0.35">
      <c r="A41" s="19">
        <f>Attendance!A39</f>
        <v>32</v>
      </c>
      <c r="B41" s="71" t="s">
        <v>59</v>
      </c>
      <c r="C41" s="128">
        <f>Attendance!AB39</f>
        <v>3</v>
      </c>
      <c r="D41" s="181">
        <f t="shared" si="22"/>
        <v>100</v>
      </c>
      <c r="E41" s="182">
        <f t="shared" si="0"/>
        <v>5</v>
      </c>
      <c r="F41" s="25">
        <v>35</v>
      </c>
      <c r="G41" s="29"/>
      <c r="H41" s="103"/>
      <c r="I41" s="24">
        <f t="shared" si="23"/>
        <v>35</v>
      </c>
      <c r="J41" s="151">
        <f t="shared" si="1"/>
        <v>85</v>
      </c>
      <c r="K41" s="182">
        <f t="shared" si="2"/>
        <v>12.75</v>
      </c>
      <c r="L41" s="28">
        <v>7</v>
      </c>
      <c r="M41" s="29">
        <v>12</v>
      </c>
      <c r="N41" s="29">
        <v>8</v>
      </c>
      <c r="O41" s="103"/>
      <c r="P41" s="24">
        <f t="shared" si="3"/>
        <v>27</v>
      </c>
      <c r="Q41" s="151">
        <f t="shared" si="4"/>
        <v>83.75</v>
      </c>
      <c r="R41" s="182">
        <f t="shared" si="5"/>
        <v>25.125</v>
      </c>
      <c r="S41" s="106">
        <v>36</v>
      </c>
      <c r="T41" s="151">
        <f t="shared" si="6"/>
        <v>72.5</v>
      </c>
      <c r="U41" s="182">
        <f t="shared" si="7"/>
        <v>36.25</v>
      </c>
      <c r="V41" s="131">
        <f t="shared" si="8"/>
        <v>79.125</v>
      </c>
      <c r="W41" s="27" t="str">
        <f t="shared" si="24"/>
        <v>PASSED</v>
      </c>
      <c r="Z41" s="37">
        <v>0</v>
      </c>
      <c r="AA41" s="19">
        <v>0</v>
      </c>
      <c r="AB41" s="19">
        <v>0</v>
      </c>
      <c r="AC41" s="19"/>
      <c r="AD41" s="19"/>
      <c r="AE41" s="108"/>
      <c r="AF41" s="113">
        <f t="shared" si="9"/>
        <v>0</v>
      </c>
      <c r="AG41" s="179">
        <f t="shared" si="10"/>
        <v>50</v>
      </c>
      <c r="AH41" s="184">
        <f t="shared" si="11"/>
        <v>5</v>
      </c>
      <c r="AI41" s="37">
        <v>0</v>
      </c>
      <c r="AJ41" s="19">
        <v>0</v>
      </c>
      <c r="AK41" s="19">
        <v>0</v>
      </c>
      <c r="AL41" s="19"/>
      <c r="AM41" s="19"/>
      <c r="AN41" s="108"/>
      <c r="AO41" s="113">
        <f t="shared" si="12"/>
        <v>0</v>
      </c>
      <c r="AP41" s="179">
        <f t="shared" si="13"/>
        <v>50</v>
      </c>
      <c r="AQ41" s="184">
        <f t="shared" si="14"/>
        <v>20</v>
      </c>
      <c r="AR41" s="36">
        <v>80</v>
      </c>
      <c r="AS41" s="108"/>
      <c r="AT41" s="113">
        <f t="shared" si="15"/>
        <v>80</v>
      </c>
      <c r="AU41" s="179">
        <f t="shared" si="16"/>
        <v>90</v>
      </c>
      <c r="AV41" s="184">
        <f t="shared" si="17"/>
        <v>45</v>
      </c>
      <c r="AW41" s="139">
        <f t="shared" si="25"/>
        <v>70</v>
      </c>
      <c r="AX41" s="113" t="str">
        <f t="shared" si="26"/>
        <v>FAILED</v>
      </c>
      <c r="AZ41" s="151">
        <f t="shared" si="18"/>
        <v>47.475000000000001</v>
      </c>
      <c r="BA41" s="151">
        <f t="shared" si="19"/>
        <v>28</v>
      </c>
      <c r="BB41" s="151">
        <f t="shared" si="20"/>
        <v>75.474999999999994</v>
      </c>
      <c r="BC41" s="24" t="str">
        <f t="shared" si="21"/>
        <v>PASSED</v>
      </c>
    </row>
    <row r="42" spans="1:55" ht="19.2" thickTop="1" thickBot="1" x14ac:dyDescent="0.35">
      <c r="A42" s="19">
        <f>Attendance!A40</f>
        <v>33</v>
      </c>
      <c r="B42" s="71" t="s">
        <v>60</v>
      </c>
      <c r="C42" s="128">
        <f>Attendance!AB40</f>
        <v>0</v>
      </c>
      <c r="D42" s="181">
        <f t="shared" si="22"/>
        <v>50</v>
      </c>
      <c r="E42" s="182">
        <f t="shared" si="0"/>
        <v>2.5</v>
      </c>
      <c r="F42" s="25">
        <v>35</v>
      </c>
      <c r="G42" s="29"/>
      <c r="H42" s="103"/>
      <c r="I42" s="24">
        <f t="shared" si="23"/>
        <v>35</v>
      </c>
      <c r="J42" s="151">
        <f t="shared" si="1"/>
        <v>85</v>
      </c>
      <c r="K42" s="182">
        <f t="shared" si="2"/>
        <v>12.75</v>
      </c>
      <c r="L42" s="28">
        <v>0</v>
      </c>
      <c r="M42" s="29">
        <v>0</v>
      </c>
      <c r="N42" s="29">
        <v>0</v>
      </c>
      <c r="O42" s="103"/>
      <c r="P42" s="24">
        <f t="shared" si="3"/>
        <v>0</v>
      </c>
      <c r="Q42" s="151">
        <f t="shared" si="4"/>
        <v>50</v>
      </c>
      <c r="R42" s="182">
        <f t="shared" si="5"/>
        <v>15</v>
      </c>
      <c r="S42" s="106">
        <v>0</v>
      </c>
      <c r="T42" s="151">
        <f t="shared" si="6"/>
        <v>50</v>
      </c>
      <c r="U42" s="182">
        <f t="shared" si="7"/>
        <v>25</v>
      </c>
      <c r="V42" s="131">
        <f t="shared" si="8"/>
        <v>55.25</v>
      </c>
      <c r="W42" s="27" t="str">
        <f t="shared" si="24"/>
        <v>FAILED</v>
      </c>
      <c r="Z42" s="37">
        <v>3</v>
      </c>
      <c r="AA42" s="19">
        <v>3</v>
      </c>
      <c r="AB42" s="19">
        <v>3</v>
      </c>
      <c r="AC42" s="19"/>
      <c r="AD42" s="19"/>
      <c r="AE42" s="108"/>
      <c r="AF42" s="113">
        <f t="shared" si="9"/>
        <v>9</v>
      </c>
      <c r="AG42" s="179">
        <f t="shared" si="10"/>
        <v>100</v>
      </c>
      <c r="AH42" s="184">
        <f t="shared" si="11"/>
        <v>10</v>
      </c>
      <c r="AI42" s="37">
        <v>75</v>
      </c>
      <c r="AJ42" s="19">
        <v>85</v>
      </c>
      <c r="AK42" s="19">
        <v>85</v>
      </c>
      <c r="AL42" s="19"/>
      <c r="AM42" s="19"/>
      <c r="AN42" s="108"/>
      <c r="AO42" s="113">
        <f t="shared" si="12"/>
        <v>245</v>
      </c>
      <c r="AP42" s="179">
        <f t="shared" si="13"/>
        <v>90.833333333333343</v>
      </c>
      <c r="AQ42" s="184">
        <f t="shared" si="14"/>
        <v>36.333333333333336</v>
      </c>
      <c r="AR42" s="36">
        <v>80</v>
      </c>
      <c r="AS42" s="108"/>
      <c r="AT42" s="113">
        <f t="shared" si="15"/>
        <v>80</v>
      </c>
      <c r="AU42" s="179">
        <f t="shared" si="16"/>
        <v>90</v>
      </c>
      <c r="AV42" s="184">
        <f t="shared" si="17"/>
        <v>45</v>
      </c>
      <c r="AW42" s="139">
        <f t="shared" si="25"/>
        <v>91.333333333333343</v>
      </c>
      <c r="AX42" s="113" t="str">
        <f t="shared" si="26"/>
        <v>PASSED</v>
      </c>
      <c r="AZ42" s="151">
        <f t="shared" si="18"/>
        <v>33.15</v>
      </c>
      <c r="BA42" s="151">
        <f t="shared" si="19"/>
        <v>36.533333333333339</v>
      </c>
      <c r="BB42" s="151">
        <f t="shared" si="20"/>
        <v>69.683333333333337</v>
      </c>
      <c r="BC42" s="24" t="str">
        <f t="shared" si="21"/>
        <v>FAILED</v>
      </c>
    </row>
    <row r="43" spans="1:55" ht="19.2" thickTop="1" thickBot="1" x14ac:dyDescent="0.35">
      <c r="A43" s="19">
        <f>Attendance!A41</f>
        <v>34</v>
      </c>
      <c r="B43" s="71" t="s">
        <v>61</v>
      </c>
      <c r="C43" s="128">
        <f>Attendance!AB41</f>
        <v>0</v>
      </c>
      <c r="D43" s="181">
        <f t="shared" si="22"/>
        <v>50</v>
      </c>
      <c r="E43" s="182">
        <f t="shared" si="0"/>
        <v>2.5</v>
      </c>
      <c r="F43" s="28">
        <v>35</v>
      </c>
      <c r="G43" s="29"/>
      <c r="H43" s="103"/>
      <c r="I43" s="24">
        <f t="shared" si="23"/>
        <v>35</v>
      </c>
      <c r="J43" s="151">
        <f t="shared" si="1"/>
        <v>85</v>
      </c>
      <c r="K43" s="182">
        <f t="shared" si="2"/>
        <v>12.75</v>
      </c>
      <c r="L43" s="28">
        <v>0</v>
      </c>
      <c r="M43" s="29">
        <v>0</v>
      </c>
      <c r="N43" s="29">
        <v>0</v>
      </c>
      <c r="O43" s="103"/>
      <c r="P43" s="24">
        <f t="shared" si="3"/>
        <v>0</v>
      </c>
      <c r="Q43" s="151">
        <f t="shared" si="4"/>
        <v>50</v>
      </c>
      <c r="R43" s="182">
        <f t="shared" si="5"/>
        <v>15</v>
      </c>
      <c r="S43" s="106">
        <v>32</v>
      </c>
      <c r="T43" s="151">
        <f t="shared" si="6"/>
        <v>70</v>
      </c>
      <c r="U43" s="182">
        <f t="shared" si="7"/>
        <v>35</v>
      </c>
      <c r="V43" s="131">
        <f t="shared" si="8"/>
        <v>65.25</v>
      </c>
      <c r="W43" s="27" t="str">
        <f t="shared" si="24"/>
        <v>FAILED</v>
      </c>
      <c r="Z43" s="37">
        <v>3</v>
      </c>
      <c r="AA43" s="19">
        <v>3</v>
      </c>
      <c r="AB43" s="19">
        <v>3</v>
      </c>
      <c r="AC43" s="19"/>
      <c r="AD43" s="19"/>
      <c r="AE43" s="108"/>
      <c r="AF43" s="113">
        <f t="shared" si="9"/>
        <v>9</v>
      </c>
      <c r="AG43" s="179">
        <f t="shared" si="10"/>
        <v>100</v>
      </c>
      <c r="AH43" s="184">
        <f t="shared" si="11"/>
        <v>10</v>
      </c>
      <c r="AI43" s="37">
        <v>75</v>
      </c>
      <c r="AJ43" s="19">
        <v>75</v>
      </c>
      <c r="AK43" s="19">
        <v>80</v>
      </c>
      <c r="AL43" s="19"/>
      <c r="AM43" s="19"/>
      <c r="AN43" s="108"/>
      <c r="AO43" s="113">
        <f t="shared" si="12"/>
        <v>230</v>
      </c>
      <c r="AP43" s="179">
        <f t="shared" si="13"/>
        <v>88.333333333333343</v>
      </c>
      <c r="AQ43" s="184">
        <f t="shared" si="14"/>
        <v>35.333333333333336</v>
      </c>
      <c r="AR43" s="38">
        <v>80</v>
      </c>
      <c r="AS43" s="108"/>
      <c r="AT43" s="113">
        <f t="shared" si="15"/>
        <v>80</v>
      </c>
      <c r="AU43" s="179">
        <f t="shared" si="16"/>
        <v>90</v>
      </c>
      <c r="AV43" s="184">
        <f t="shared" si="17"/>
        <v>45</v>
      </c>
      <c r="AW43" s="139">
        <f t="shared" si="25"/>
        <v>90.333333333333343</v>
      </c>
      <c r="AX43" s="113" t="str">
        <f t="shared" si="26"/>
        <v>PASSED</v>
      </c>
      <c r="AZ43" s="151">
        <f t="shared" si="18"/>
        <v>39.15</v>
      </c>
      <c r="BA43" s="151">
        <f t="shared" si="19"/>
        <v>36.13333333333334</v>
      </c>
      <c r="BB43" s="151">
        <f t="shared" si="20"/>
        <v>75.283333333333331</v>
      </c>
      <c r="BC43" s="24" t="str">
        <f t="shared" si="21"/>
        <v>PASSED</v>
      </c>
    </row>
    <row r="44" spans="1:55" ht="19.2" thickTop="1" thickBot="1" x14ac:dyDescent="0.35">
      <c r="A44" s="19">
        <f>Attendance!A42</f>
        <v>35</v>
      </c>
      <c r="B44" s="71" t="s">
        <v>62</v>
      </c>
      <c r="C44" s="128">
        <f>Attendance!AB42</f>
        <v>0</v>
      </c>
      <c r="D44" s="181">
        <f t="shared" si="22"/>
        <v>50</v>
      </c>
      <c r="E44" s="182">
        <f t="shared" si="0"/>
        <v>2.5</v>
      </c>
      <c r="F44" s="25">
        <v>35</v>
      </c>
      <c r="G44" s="29"/>
      <c r="H44" s="103"/>
      <c r="I44" s="24">
        <f t="shared" si="23"/>
        <v>35</v>
      </c>
      <c r="J44" s="151">
        <f t="shared" si="1"/>
        <v>85</v>
      </c>
      <c r="K44" s="182">
        <f t="shared" si="2"/>
        <v>12.75</v>
      </c>
      <c r="L44" s="28">
        <v>0</v>
      </c>
      <c r="M44" s="29">
        <v>0</v>
      </c>
      <c r="N44" s="29">
        <v>0</v>
      </c>
      <c r="O44" s="103"/>
      <c r="P44" s="24">
        <f t="shared" si="3"/>
        <v>0</v>
      </c>
      <c r="Q44" s="151">
        <f t="shared" si="4"/>
        <v>50</v>
      </c>
      <c r="R44" s="182">
        <f t="shared" si="5"/>
        <v>15</v>
      </c>
      <c r="S44" s="106">
        <v>48</v>
      </c>
      <c r="T44" s="151">
        <f t="shared" si="6"/>
        <v>80</v>
      </c>
      <c r="U44" s="182">
        <f t="shared" si="7"/>
        <v>40</v>
      </c>
      <c r="V44" s="131">
        <f t="shared" si="8"/>
        <v>70.25</v>
      </c>
      <c r="W44" s="27" t="str">
        <f t="shared" si="24"/>
        <v>FAILED</v>
      </c>
      <c r="Z44" s="37">
        <v>3</v>
      </c>
      <c r="AA44" s="19">
        <v>3</v>
      </c>
      <c r="AB44" s="19">
        <v>3</v>
      </c>
      <c r="AC44" s="19"/>
      <c r="AD44" s="19"/>
      <c r="AE44" s="108"/>
      <c r="AF44" s="113">
        <f t="shared" si="9"/>
        <v>9</v>
      </c>
      <c r="AG44" s="179">
        <f t="shared" si="10"/>
        <v>100</v>
      </c>
      <c r="AH44" s="184">
        <f t="shared" si="11"/>
        <v>10</v>
      </c>
      <c r="AI44" s="37">
        <v>90</v>
      </c>
      <c r="AJ44" s="19">
        <v>90</v>
      </c>
      <c r="AK44" s="19">
        <v>0</v>
      </c>
      <c r="AL44" s="19"/>
      <c r="AM44" s="19"/>
      <c r="AN44" s="108"/>
      <c r="AO44" s="113">
        <f t="shared" si="12"/>
        <v>180</v>
      </c>
      <c r="AP44" s="179">
        <f t="shared" si="13"/>
        <v>80</v>
      </c>
      <c r="AQ44" s="184">
        <f t="shared" si="14"/>
        <v>32</v>
      </c>
      <c r="AR44" s="36">
        <v>80</v>
      </c>
      <c r="AS44" s="108"/>
      <c r="AT44" s="113">
        <f t="shared" si="15"/>
        <v>80</v>
      </c>
      <c r="AU44" s="179">
        <f t="shared" si="16"/>
        <v>90</v>
      </c>
      <c r="AV44" s="184">
        <f t="shared" si="17"/>
        <v>45</v>
      </c>
      <c r="AW44" s="139">
        <f t="shared" si="25"/>
        <v>87</v>
      </c>
      <c r="AX44" s="113" t="str">
        <f t="shared" si="26"/>
        <v>PASSED</v>
      </c>
      <c r="AZ44" s="151">
        <f t="shared" si="18"/>
        <v>42.15</v>
      </c>
      <c r="BA44" s="151">
        <f t="shared" si="19"/>
        <v>34.800000000000004</v>
      </c>
      <c r="BB44" s="151">
        <f t="shared" si="20"/>
        <v>76.95</v>
      </c>
      <c r="BC44" s="24" t="str">
        <f t="shared" si="21"/>
        <v>PASSED</v>
      </c>
    </row>
    <row r="45" spans="1:55" ht="19.2" thickTop="1" thickBot="1" x14ac:dyDescent="0.35">
      <c r="A45" s="19">
        <f>Attendance!A43</f>
        <v>36</v>
      </c>
      <c r="B45" s="71" t="s">
        <v>63</v>
      </c>
      <c r="C45" s="128">
        <f>Attendance!AB43</f>
        <v>3</v>
      </c>
      <c r="D45" s="181">
        <f t="shared" si="22"/>
        <v>100</v>
      </c>
      <c r="E45" s="182">
        <f t="shared" si="0"/>
        <v>5</v>
      </c>
      <c r="F45" s="25">
        <v>35</v>
      </c>
      <c r="G45" s="29"/>
      <c r="H45" s="103"/>
      <c r="I45" s="24">
        <f t="shared" si="23"/>
        <v>35</v>
      </c>
      <c r="J45" s="151">
        <f t="shared" si="1"/>
        <v>85</v>
      </c>
      <c r="K45" s="182">
        <f t="shared" si="2"/>
        <v>12.75</v>
      </c>
      <c r="L45" s="28">
        <v>9</v>
      </c>
      <c r="M45" s="29">
        <v>14</v>
      </c>
      <c r="N45" s="29">
        <v>6</v>
      </c>
      <c r="O45" s="103"/>
      <c r="P45" s="24">
        <f t="shared" si="3"/>
        <v>29</v>
      </c>
      <c r="Q45" s="151">
        <f t="shared" si="4"/>
        <v>86.25</v>
      </c>
      <c r="R45" s="182">
        <f t="shared" si="5"/>
        <v>25.875</v>
      </c>
      <c r="S45" s="106">
        <v>58</v>
      </c>
      <c r="T45" s="151">
        <f t="shared" si="6"/>
        <v>86.25</v>
      </c>
      <c r="U45" s="182">
        <f t="shared" si="7"/>
        <v>43.125</v>
      </c>
      <c r="V45" s="131">
        <f t="shared" si="8"/>
        <v>86.75</v>
      </c>
      <c r="W45" s="27" t="str">
        <f t="shared" si="24"/>
        <v>PASSED</v>
      </c>
      <c r="Z45" s="37">
        <v>3</v>
      </c>
      <c r="AA45" s="19">
        <v>3</v>
      </c>
      <c r="AB45" s="19">
        <v>3</v>
      </c>
      <c r="AC45" s="19"/>
      <c r="AD45" s="19"/>
      <c r="AE45" s="108"/>
      <c r="AF45" s="113">
        <f t="shared" si="9"/>
        <v>9</v>
      </c>
      <c r="AG45" s="179">
        <f t="shared" si="10"/>
        <v>100</v>
      </c>
      <c r="AH45" s="184">
        <f t="shared" si="11"/>
        <v>10</v>
      </c>
      <c r="AI45" s="37">
        <v>98</v>
      </c>
      <c r="AJ45" s="19">
        <v>90</v>
      </c>
      <c r="AK45" s="19">
        <v>85</v>
      </c>
      <c r="AL45" s="19"/>
      <c r="AM45" s="19"/>
      <c r="AN45" s="108"/>
      <c r="AO45" s="113">
        <f t="shared" si="12"/>
        <v>273</v>
      </c>
      <c r="AP45" s="179">
        <f t="shared" si="13"/>
        <v>95.5</v>
      </c>
      <c r="AQ45" s="184">
        <f t="shared" si="14"/>
        <v>38.200000000000003</v>
      </c>
      <c r="AR45" s="36">
        <v>80</v>
      </c>
      <c r="AS45" s="108"/>
      <c r="AT45" s="113">
        <f t="shared" si="15"/>
        <v>80</v>
      </c>
      <c r="AU45" s="179">
        <f t="shared" si="16"/>
        <v>90</v>
      </c>
      <c r="AV45" s="184">
        <f t="shared" si="17"/>
        <v>45</v>
      </c>
      <c r="AW45" s="139">
        <f t="shared" si="25"/>
        <v>93.2</v>
      </c>
      <c r="AX45" s="113" t="str">
        <f t="shared" si="26"/>
        <v>PASSED</v>
      </c>
      <c r="AZ45" s="151">
        <f t="shared" si="18"/>
        <v>52.05</v>
      </c>
      <c r="BA45" s="151">
        <f t="shared" si="19"/>
        <v>37.28</v>
      </c>
      <c r="BB45" s="151">
        <f t="shared" si="20"/>
        <v>89.33</v>
      </c>
      <c r="BC45" s="24" t="str">
        <f t="shared" si="21"/>
        <v>PASSED</v>
      </c>
    </row>
    <row r="46" spans="1:55" ht="19.2" thickTop="1" thickBot="1" x14ac:dyDescent="0.35">
      <c r="A46" s="19">
        <f>Attendance!A44</f>
        <v>37</v>
      </c>
      <c r="B46" s="71" t="s">
        <v>64</v>
      </c>
      <c r="C46" s="128">
        <f>Attendance!AB44</f>
        <v>3</v>
      </c>
      <c r="D46" s="181">
        <f t="shared" si="22"/>
        <v>100</v>
      </c>
      <c r="E46" s="182">
        <f t="shared" si="0"/>
        <v>5</v>
      </c>
      <c r="F46" s="25">
        <v>35</v>
      </c>
      <c r="G46" s="29"/>
      <c r="H46" s="103"/>
      <c r="I46" s="24">
        <f t="shared" si="23"/>
        <v>35</v>
      </c>
      <c r="J46" s="151">
        <f t="shared" si="1"/>
        <v>85</v>
      </c>
      <c r="K46" s="182">
        <f t="shared" si="2"/>
        <v>12.75</v>
      </c>
      <c r="L46" s="28">
        <v>8</v>
      </c>
      <c r="M46" s="29">
        <v>13</v>
      </c>
      <c r="N46" s="29">
        <v>8</v>
      </c>
      <c r="O46" s="103"/>
      <c r="P46" s="24">
        <f t="shared" si="3"/>
        <v>29</v>
      </c>
      <c r="Q46" s="151">
        <f t="shared" si="4"/>
        <v>86.25</v>
      </c>
      <c r="R46" s="182">
        <f t="shared" si="5"/>
        <v>25.875</v>
      </c>
      <c r="S46" s="106">
        <v>60</v>
      </c>
      <c r="T46" s="151">
        <f t="shared" si="6"/>
        <v>87.5</v>
      </c>
      <c r="U46" s="182">
        <f t="shared" si="7"/>
        <v>43.75</v>
      </c>
      <c r="V46" s="131">
        <f t="shared" si="8"/>
        <v>87.375</v>
      </c>
      <c r="W46" s="27" t="str">
        <f t="shared" si="24"/>
        <v>PASSED</v>
      </c>
      <c r="Z46" s="37">
        <v>3</v>
      </c>
      <c r="AA46" s="19">
        <v>3</v>
      </c>
      <c r="AB46" s="19">
        <v>3</v>
      </c>
      <c r="AC46" s="19"/>
      <c r="AD46" s="19"/>
      <c r="AE46" s="108"/>
      <c r="AF46" s="113">
        <f t="shared" si="9"/>
        <v>9</v>
      </c>
      <c r="AG46" s="179">
        <f t="shared" si="10"/>
        <v>100</v>
      </c>
      <c r="AH46" s="184">
        <f t="shared" si="11"/>
        <v>10</v>
      </c>
      <c r="AI46" s="37">
        <v>100</v>
      </c>
      <c r="AJ46" s="19">
        <v>95</v>
      </c>
      <c r="AK46" s="19">
        <v>90</v>
      </c>
      <c r="AL46" s="19"/>
      <c r="AM46" s="19"/>
      <c r="AN46" s="108"/>
      <c r="AO46" s="113">
        <f t="shared" si="12"/>
        <v>285</v>
      </c>
      <c r="AP46" s="179">
        <f t="shared" si="13"/>
        <v>97.5</v>
      </c>
      <c r="AQ46" s="184">
        <f t="shared" si="14"/>
        <v>39</v>
      </c>
      <c r="AR46" s="36">
        <v>80</v>
      </c>
      <c r="AS46" s="108"/>
      <c r="AT46" s="113">
        <f t="shared" si="15"/>
        <v>80</v>
      </c>
      <c r="AU46" s="179">
        <f t="shared" si="16"/>
        <v>90</v>
      </c>
      <c r="AV46" s="184">
        <f t="shared" si="17"/>
        <v>45</v>
      </c>
      <c r="AW46" s="139">
        <f t="shared" si="25"/>
        <v>94</v>
      </c>
      <c r="AX46" s="113" t="str">
        <f t="shared" si="26"/>
        <v>PASSED</v>
      </c>
      <c r="AZ46" s="151">
        <f t="shared" si="18"/>
        <v>52.424999999999997</v>
      </c>
      <c r="BA46" s="151">
        <f t="shared" si="19"/>
        <v>37.6</v>
      </c>
      <c r="BB46" s="151">
        <f t="shared" si="20"/>
        <v>90.025000000000006</v>
      </c>
      <c r="BC46" s="24" t="str">
        <f t="shared" si="21"/>
        <v>PASSED</v>
      </c>
    </row>
    <row r="47" spans="1:55" ht="19.2" thickTop="1" thickBot="1" x14ac:dyDescent="0.35">
      <c r="A47" s="19">
        <f>Attendance!A45</f>
        <v>38</v>
      </c>
      <c r="B47" s="71" t="s">
        <v>65</v>
      </c>
      <c r="C47" s="128">
        <f>Attendance!AB45</f>
        <v>0</v>
      </c>
      <c r="D47" s="181">
        <f t="shared" si="22"/>
        <v>50</v>
      </c>
      <c r="E47" s="182">
        <f t="shared" si="0"/>
        <v>2.5</v>
      </c>
      <c r="F47" s="25">
        <v>35</v>
      </c>
      <c r="G47" s="29"/>
      <c r="H47" s="103"/>
      <c r="I47" s="24">
        <f t="shared" si="23"/>
        <v>35</v>
      </c>
      <c r="J47" s="151">
        <f t="shared" si="1"/>
        <v>85</v>
      </c>
      <c r="K47" s="182">
        <f t="shared" si="2"/>
        <v>12.75</v>
      </c>
      <c r="L47" s="28">
        <v>0</v>
      </c>
      <c r="M47" s="29">
        <v>0</v>
      </c>
      <c r="N47" s="29">
        <v>0</v>
      </c>
      <c r="O47" s="103"/>
      <c r="P47" s="24">
        <f t="shared" si="3"/>
        <v>0</v>
      </c>
      <c r="Q47" s="151">
        <f t="shared" si="4"/>
        <v>50</v>
      </c>
      <c r="R47" s="182">
        <f t="shared" si="5"/>
        <v>15</v>
      </c>
      <c r="S47" s="106">
        <v>0</v>
      </c>
      <c r="T47" s="151">
        <f t="shared" si="6"/>
        <v>50</v>
      </c>
      <c r="U47" s="182">
        <f t="shared" si="7"/>
        <v>25</v>
      </c>
      <c r="V47" s="131">
        <f t="shared" si="8"/>
        <v>55.25</v>
      </c>
      <c r="W47" s="27" t="str">
        <f t="shared" si="24"/>
        <v>FAILED</v>
      </c>
      <c r="Z47" s="37">
        <v>0</v>
      </c>
      <c r="AA47" s="19">
        <v>0</v>
      </c>
      <c r="AB47" s="19">
        <v>0</v>
      </c>
      <c r="AC47" s="19"/>
      <c r="AD47" s="19"/>
      <c r="AE47" s="108"/>
      <c r="AF47" s="113">
        <f t="shared" si="9"/>
        <v>0</v>
      </c>
      <c r="AG47" s="179">
        <f t="shared" si="10"/>
        <v>50</v>
      </c>
      <c r="AH47" s="184">
        <f t="shared" si="11"/>
        <v>5</v>
      </c>
      <c r="AI47" s="37">
        <v>0</v>
      </c>
      <c r="AJ47" s="19">
        <v>0</v>
      </c>
      <c r="AK47" s="19">
        <v>0</v>
      </c>
      <c r="AL47" s="19"/>
      <c r="AM47" s="19"/>
      <c r="AN47" s="108"/>
      <c r="AO47" s="113">
        <f t="shared" si="12"/>
        <v>0</v>
      </c>
      <c r="AP47" s="179">
        <f t="shared" si="13"/>
        <v>50</v>
      </c>
      <c r="AQ47" s="184">
        <f t="shared" si="14"/>
        <v>20</v>
      </c>
      <c r="AR47" s="36">
        <v>80</v>
      </c>
      <c r="AS47" s="108"/>
      <c r="AT47" s="113">
        <f t="shared" si="15"/>
        <v>80</v>
      </c>
      <c r="AU47" s="179">
        <f t="shared" si="16"/>
        <v>90</v>
      </c>
      <c r="AV47" s="184">
        <f t="shared" si="17"/>
        <v>45</v>
      </c>
      <c r="AW47" s="139">
        <f t="shared" si="25"/>
        <v>70</v>
      </c>
      <c r="AX47" s="113" t="str">
        <f t="shared" si="26"/>
        <v>FAILED</v>
      </c>
      <c r="AZ47" s="151">
        <f t="shared" si="18"/>
        <v>33.15</v>
      </c>
      <c r="BA47" s="151">
        <f t="shared" si="19"/>
        <v>28</v>
      </c>
      <c r="BB47" s="151">
        <f t="shared" si="20"/>
        <v>61.15</v>
      </c>
      <c r="BC47" s="24" t="str">
        <f t="shared" si="21"/>
        <v>FAILED</v>
      </c>
    </row>
    <row r="48" spans="1:55" ht="19.2" thickTop="1" thickBot="1" x14ac:dyDescent="0.35">
      <c r="A48" s="19">
        <f>Attendance!A46</f>
        <v>39</v>
      </c>
      <c r="B48" s="71" t="s">
        <v>66</v>
      </c>
      <c r="C48" s="128">
        <f>Attendance!AB46</f>
        <v>3</v>
      </c>
      <c r="D48" s="181">
        <f t="shared" si="22"/>
        <v>100</v>
      </c>
      <c r="E48" s="182">
        <f t="shared" si="0"/>
        <v>5</v>
      </c>
      <c r="F48" s="25">
        <v>35</v>
      </c>
      <c r="G48" s="29"/>
      <c r="H48" s="103"/>
      <c r="I48" s="24">
        <f t="shared" si="23"/>
        <v>35</v>
      </c>
      <c r="J48" s="151">
        <f t="shared" si="1"/>
        <v>85</v>
      </c>
      <c r="K48" s="182">
        <f t="shared" si="2"/>
        <v>12.75</v>
      </c>
      <c r="L48" s="28">
        <v>12</v>
      </c>
      <c r="M48" s="29">
        <v>11</v>
      </c>
      <c r="N48" s="29">
        <v>9</v>
      </c>
      <c r="O48" s="103"/>
      <c r="P48" s="24">
        <f t="shared" si="3"/>
        <v>32</v>
      </c>
      <c r="Q48" s="151">
        <f t="shared" si="4"/>
        <v>90</v>
      </c>
      <c r="R48" s="182">
        <f t="shared" si="5"/>
        <v>27</v>
      </c>
      <c r="S48" s="106">
        <v>55</v>
      </c>
      <c r="T48" s="151">
        <f t="shared" si="6"/>
        <v>84.375</v>
      </c>
      <c r="U48" s="182">
        <f t="shared" si="7"/>
        <v>42.1875</v>
      </c>
      <c r="V48" s="131">
        <f t="shared" si="8"/>
        <v>86.9375</v>
      </c>
      <c r="W48" s="27" t="str">
        <f t="shared" si="24"/>
        <v>PASSED</v>
      </c>
      <c r="Z48" s="37">
        <v>3</v>
      </c>
      <c r="AA48" s="19">
        <v>3</v>
      </c>
      <c r="AB48" s="19">
        <v>3</v>
      </c>
      <c r="AC48" s="19"/>
      <c r="AD48" s="19"/>
      <c r="AE48" s="108"/>
      <c r="AF48" s="113">
        <f t="shared" si="9"/>
        <v>9</v>
      </c>
      <c r="AG48" s="179">
        <f t="shared" si="10"/>
        <v>100</v>
      </c>
      <c r="AH48" s="184">
        <f t="shared" si="11"/>
        <v>10</v>
      </c>
      <c r="AI48" s="37">
        <v>85</v>
      </c>
      <c r="AJ48" s="19">
        <v>85</v>
      </c>
      <c r="AK48" s="19">
        <v>85</v>
      </c>
      <c r="AL48" s="19"/>
      <c r="AM48" s="19"/>
      <c r="AN48" s="108"/>
      <c r="AO48" s="113">
        <f t="shared" si="12"/>
        <v>255</v>
      </c>
      <c r="AP48" s="179">
        <f t="shared" si="13"/>
        <v>92.5</v>
      </c>
      <c r="AQ48" s="184">
        <f t="shared" si="14"/>
        <v>37</v>
      </c>
      <c r="AR48" s="36">
        <v>80</v>
      </c>
      <c r="AS48" s="108"/>
      <c r="AT48" s="113">
        <f t="shared" si="15"/>
        <v>80</v>
      </c>
      <c r="AU48" s="179">
        <f t="shared" si="16"/>
        <v>90</v>
      </c>
      <c r="AV48" s="184">
        <f t="shared" si="17"/>
        <v>45</v>
      </c>
      <c r="AW48" s="139">
        <f t="shared" si="25"/>
        <v>92</v>
      </c>
      <c r="AX48" s="113" t="str">
        <f t="shared" si="26"/>
        <v>PASSED</v>
      </c>
      <c r="AZ48" s="151">
        <f t="shared" si="18"/>
        <v>52.162500000000001</v>
      </c>
      <c r="BA48" s="151">
        <f t="shared" si="19"/>
        <v>36.800000000000004</v>
      </c>
      <c r="BB48" s="151">
        <f t="shared" si="20"/>
        <v>88.962500000000006</v>
      </c>
      <c r="BC48" s="24" t="str">
        <f t="shared" si="21"/>
        <v>PASSED</v>
      </c>
    </row>
    <row r="49" spans="1:55" ht="19.2" thickTop="1" thickBot="1" x14ac:dyDescent="0.35">
      <c r="A49" s="19">
        <f>Attendance!A47</f>
        <v>40</v>
      </c>
      <c r="B49" s="71" t="s">
        <v>67</v>
      </c>
      <c r="C49" s="128">
        <f>Attendance!AB47</f>
        <v>3</v>
      </c>
      <c r="D49" s="181">
        <f t="shared" si="22"/>
        <v>100</v>
      </c>
      <c r="E49" s="182">
        <f t="shared" si="0"/>
        <v>5</v>
      </c>
      <c r="F49" s="25">
        <v>35</v>
      </c>
      <c r="G49" s="29"/>
      <c r="H49" s="103"/>
      <c r="I49" s="24">
        <f t="shared" si="23"/>
        <v>35</v>
      </c>
      <c r="J49" s="151">
        <f t="shared" si="1"/>
        <v>85</v>
      </c>
      <c r="K49" s="182">
        <f t="shared" si="2"/>
        <v>12.75</v>
      </c>
      <c r="L49" s="28">
        <v>9</v>
      </c>
      <c r="M49" s="29">
        <v>8</v>
      </c>
      <c r="N49" s="29">
        <v>5</v>
      </c>
      <c r="O49" s="103"/>
      <c r="P49" s="24">
        <f t="shared" si="3"/>
        <v>22</v>
      </c>
      <c r="Q49" s="151">
        <f t="shared" si="4"/>
        <v>77.5</v>
      </c>
      <c r="R49" s="182">
        <f t="shared" si="5"/>
        <v>23.25</v>
      </c>
      <c r="S49" s="106">
        <v>35</v>
      </c>
      <c r="T49" s="151">
        <f t="shared" si="6"/>
        <v>71.875</v>
      </c>
      <c r="U49" s="182">
        <f t="shared" si="7"/>
        <v>35.9375</v>
      </c>
      <c r="V49" s="131">
        <f t="shared" si="8"/>
        <v>76.9375</v>
      </c>
      <c r="W49" s="27" t="str">
        <f t="shared" si="24"/>
        <v>PASSED</v>
      </c>
      <c r="Z49" s="37">
        <v>0</v>
      </c>
      <c r="AA49" s="19">
        <v>0</v>
      </c>
      <c r="AB49" s="19">
        <v>0</v>
      </c>
      <c r="AC49" s="19"/>
      <c r="AD49" s="19"/>
      <c r="AE49" s="108"/>
      <c r="AF49" s="113">
        <f t="shared" si="9"/>
        <v>0</v>
      </c>
      <c r="AG49" s="179">
        <f t="shared" si="10"/>
        <v>50</v>
      </c>
      <c r="AH49" s="184">
        <f t="shared" si="11"/>
        <v>5</v>
      </c>
      <c r="AI49" s="37">
        <v>0</v>
      </c>
      <c r="AJ49" s="19">
        <v>0</v>
      </c>
      <c r="AK49" s="19">
        <v>0</v>
      </c>
      <c r="AL49" s="19"/>
      <c r="AM49" s="19"/>
      <c r="AN49" s="108"/>
      <c r="AO49" s="113">
        <f t="shared" si="12"/>
        <v>0</v>
      </c>
      <c r="AP49" s="179">
        <f t="shared" si="13"/>
        <v>50</v>
      </c>
      <c r="AQ49" s="184">
        <f t="shared" si="14"/>
        <v>20</v>
      </c>
      <c r="AR49" s="36">
        <v>80</v>
      </c>
      <c r="AS49" s="108"/>
      <c r="AT49" s="113">
        <f t="shared" si="15"/>
        <v>80</v>
      </c>
      <c r="AU49" s="179">
        <f t="shared" si="16"/>
        <v>90</v>
      </c>
      <c r="AV49" s="184">
        <f t="shared" si="17"/>
        <v>45</v>
      </c>
      <c r="AW49" s="139">
        <f t="shared" si="25"/>
        <v>70</v>
      </c>
      <c r="AX49" s="113" t="str">
        <f t="shared" si="26"/>
        <v>FAILED</v>
      </c>
      <c r="AZ49" s="151">
        <f t="shared" si="18"/>
        <v>46.162500000000001</v>
      </c>
      <c r="BA49" s="151">
        <f t="shared" si="19"/>
        <v>28</v>
      </c>
      <c r="BB49" s="151">
        <f t="shared" si="20"/>
        <v>74.162499999999994</v>
      </c>
      <c r="BC49" s="24" t="str">
        <f t="shared" si="21"/>
        <v>FAILED</v>
      </c>
    </row>
    <row r="50" spans="1:55" ht="19.2" thickTop="1" thickBot="1" x14ac:dyDescent="0.35">
      <c r="A50" s="19">
        <f>Attendance!A48</f>
        <v>41</v>
      </c>
      <c r="B50" s="71" t="s">
        <v>68</v>
      </c>
      <c r="C50" s="128">
        <f>Attendance!AB48</f>
        <v>0</v>
      </c>
      <c r="D50" s="181">
        <f t="shared" si="22"/>
        <v>50</v>
      </c>
      <c r="E50" s="182">
        <f t="shared" si="0"/>
        <v>2.5</v>
      </c>
      <c r="F50" s="25">
        <v>35</v>
      </c>
      <c r="G50" s="29"/>
      <c r="H50" s="103"/>
      <c r="I50" s="24">
        <f t="shared" si="23"/>
        <v>35</v>
      </c>
      <c r="J50" s="151">
        <f t="shared" si="1"/>
        <v>85</v>
      </c>
      <c r="K50" s="182">
        <f t="shared" si="2"/>
        <v>12.75</v>
      </c>
      <c r="L50" s="28">
        <v>0</v>
      </c>
      <c r="M50" s="29">
        <v>0</v>
      </c>
      <c r="N50" s="29">
        <v>0</v>
      </c>
      <c r="O50" s="103"/>
      <c r="P50" s="24">
        <f t="shared" si="3"/>
        <v>0</v>
      </c>
      <c r="Q50" s="151">
        <f t="shared" si="4"/>
        <v>50</v>
      </c>
      <c r="R50" s="182">
        <f t="shared" si="5"/>
        <v>15</v>
      </c>
      <c r="S50" s="106">
        <v>34</v>
      </c>
      <c r="T50" s="151">
        <f t="shared" si="6"/>
        <v>71.25</v>
      </c>
      <c r="U50" s="182">
        <f t="shared" si="7"/>
        <v>35.625</v>
      </c>
      <c r="V50" s="131">
        <f t="shared" si="8"/>
        <v>65.875</v>
      </c>
      <c r="W50" s="27" t="str">
        <f t="shared" si="24"/>
        <v>FAILED</v>
      </c>
      <c r="Z50" s="37">
        <v>3</v>
      </c>
      <c r="AA50" s="19">
        <v>3</v>
      </c>
      <c r="AB50" s="19">
        <v>3</v>
      </c>
      <c r="AC50" s="19"/>
      <c r="AD50" s="19"/>
      <c r="AE50" s="108"/>
      <c r="AF50" s="113">
        <f t="shared" si="9"/>
        <v>9</v>
      </c>
      <c r="AG50" s="179">
        <f t="shared" si="10"/>
        <v>100</v>
      </c>
      <c r="AH50" s="184">
        <f t="shared" si="11"/>
        <v>10</v>
      </c>
      <c r="AI50" s="37">
        <v>98</v>
      </c>
      <c r="AJ50" s="19">
        <v>95</v>
      </c>
      <c r="AK50" s="19">
        <v>95</v>
      </c>
      <c r="AL50" s="19"/>
      <c r="AM50" s="19"/>
      <c r="AN50" s="108"/>
      <c r="AO50" s="113">
        <f t="shared" si="12"/>
        <v>288</v>
      </c>
      <c r="AP50" s="179">
        <f t="shared" si="13"/>
        <v>98</v>
      </c>
      <c r="AQ50" s="184">
        <f t="shared" si="14"/>
        <v>39.200000000000003</v>
      </c>
      <c r="AR50" s="36">
        <v>80</v>
      </c>
      <c r="AS50" s="108"/>
      <c r="AT50" s="113">
        <f t="shared" si="15"/>
        <v>80</v>
      </c>
      <c r="AU50" s="179">
        <f t="shared" si="16"/>
        <v>90</v>
      </c>
      <c r="AV50" s="184">
        <f t="shared" si="17"/>
        <v>45</v>
      </c>
      <c r="AW50" s="139">
        <f t="shared" si="25"/>
        <v>94.2</v>
      </c>
      <c r="AX50" s="113" t="str">
        <f t="shared" si="26"/>
        <v>PASSED</v>
      </c>
      <c r="AZ50" s="151">
        <f t="shared" si="18"/>
        <v>39.524999999999999</v>
      </c>
      <c r="BA50" s="151">
        <f t="shared" si="19"/>
        <v>37.68</v>
      </c>
      <c r="BB50" s="151">
        <f t="shared" si="20"/>
        <v>77.204999999999998</v>
      </c>
      <c r="BC50" s="24" t="str">
        <f t="shared" si="21"/>
        <v>PASSED</v>
      </c>
    </row>
    <row r="51" spans="1:55" ht="19.2" thickTop="1" thickBot="1" x14ac:dyDescent="0.35">
      <c r="A51" s="19">
        <f>Attendance!A49</f>
        <v>42</v>
      </c>
      <c r="B51" s="71" t="s">
        <v>69</v>
      </c>
      <c r="C51" s="128">
        <f>Attendance!AB49</f>
        <v>3</v>
      </c>
      <c r="D51" s="181">
        <f t="shared" si="22"/>
        <v>100</v>
      </c>
      <c r="E51" s="182">
        <f t="shared" si="0"/>
        <v>5</v>
      </c>
      <c r="F51" s="25">
        <v>35</v>
      </c>
      <c r="G51" s="29"/>
      <c r="H51" s="103"/>
      <c r="I51" s="24">
        <f t="shared" si="23"/>
        <v>35</v>
      </c>
      <c r="J51" s="151">
        <f t="shared" si="1"/>
        <v>85</v>
      </c>
      <c r="K51" s="182">
        <f t="shared" si="2"/>
        <v>12.75</v>
      </c>
      <c r="L51" s="28">
        <v>8</v>
      </c>
      <c r="M51" s="29">
        <v>13</v>
      </c>
      <c r="N51" s="29">
        <v>8</v>
      </c>
      <c r="O51" s="103"/>
      <c r="P51" s="24">
        <f t="shared" si="3"/>
        <v>29</v>
      </c>
      <c r="Q51" s="151">
        <f t="shared" si="4"/>
        <v>86.25</v>
      </c>
      <c r="R51" s="182">
        <f t="shared" si="5"/>
        <v>25.875</v>
      </c>
      <c r="S51" s="106">
        <v>53</v>
      </c>
      <c r="T51" s="151">
        <f t="shared" si="6"/>
        <v>83.125</v>
      </c>
      <c r="U51" s="182">
        <f t="shared" si="7"/>
        <v>41.5625</v>
      </c>
      <c r="V51" s="131">
        <f t="shared" si="8"/>
        <v>85.1875</v>
      </c>
      <c r="W51" s="27" t="str">
        <f t="shared" si="24"/>
        <v>PASSED</v>
      </c>
      <c r="Z51" s="37">
        <v>3</v>
      </c>
      <c r="AA51" s="19">
        <v>3</v>
      </c>
      <c r="AB51" s="19">
        <v>3</v>
      </c>
      <c r="AC51" s="19"/>
      <c r="AD51" s="19"/>
      <c r="AE51" s="108"/>
      <c r="AF51" s="113">
        <f t="shared" si="9"/>
        <v>9</v>
      </c>
      <c r="AG51" s="179">
        <f t="shared" si="10"/>
        <v>100</v>
      </c>
      <c r="AH51" s="184">
        <f t="shared" si="11"/>
        <v>10</v>
      </c>
      <c r="AI51" s="37">
        <v>75</v>
      </c>
      <c r="AJ51" s="19">
        <v>75</v>
      </c>
      <c r="AK51" s="19">
        <v>85</v>
      </c>
      <c r="AL51" s="19"/>
      <c r="AM51" s="19"/>
      <c r="AN51" s="108"/>
      <c r="AO51" s="113">
        <f t="shared" si="12"/>
        <v>235</v>
      </c>
      <c r="AP51" s="179">
        <f t="shared" si="13"/>
        <v>89.166666666666657</v>
      </c>
      <c r="AQ51" s="184">
        <f t="shared" si="14"/>
        <v>35.666666666666664</v>
      </c>
      <c r="AR51" s="36">
        <v>80</v>
      </c>
      <c r="AS51" s="108"/>
      <c r="AT51" s="113">
        <f t="shared" si="15"/>
        <v>80</v>
      </c>
      <c r="AU51" s="179">
        <f t="shared" si="16"/>
        <v>90</v>
      </c>
      <c r="AV51" s="184">
        <f t="shared" si="17"/>
        <v>45</v>
      </c>
      <c r="AW51" s="139">
        <f t="shared" si="25"/>
        <v>90.666666666666657</v>
      </c>
      <c r="AX51" s="113" t="str">
        <f t="shared" si="26"/>
        <v>PASSED</v>
      </c>
      <c r="AZ51" s="151">
        <f t="shared" si="18"/>
        <v>51.112499999999997</v>
      </c>
      <c r="BA51" s="151">
        <f t="shared" si="19"/>
        <v>36.266666666666666</v>
      </c>
      <c r="BB51" s="151">
        <f t="shared" si="20"/>
        <v>87.379166666666663</v>
      </c>
      <c r="BC51" s="24" t="str">
        <f t="shared" si="21"/>
        <v>PASSED</v>
      </c>
    </row>
    <row r="52" spans="1:55" s="208" customFormat="1" ht="19.2" thickTop="1" thickBot="1" x14ac:dyDescent="0.35">
      <c r="A52" s="193">
        <f>Attendance!A50</f>
        <v>43</v>
      </c>
      <c r="B52" s="194" t="s">
        <v>70</v>
      </c>
      <c r="C52" s="195">
        <f>Attendance!AB50</f>
        <v>0</v>
      </c>
      <c r="D52" s="196">
        <f t="shared" si="22"/>
        <v>50</v>
      </c>
      <c r="E52" s="182">
        <f t="shared" si="0"/>
        <v>2.5</v>
      </c>
      <c r="F52" s="217">
        <v>0</v>
      </c>
      <c r="G52" s="197"/>
      <c r="H52" s="198"/>
      <c r="I52" s="199">
        <f t="shared" si="23"/>
        <v>0</v>
      </c>
      <c r="J52" s="200">
        <f t="shared" si="1"/>
        <v>50</v>
      </c>
      <c r="K52" s="182">
        <f t="shared" si="2"/>
        <v>7.5</v>
      </c>
      <c r="L52" s="201">
        <v>0</v>
      </c>
      <c r="M52" s="202">
        <v>0</v>
      </c>
      <c r="N52" s="202">
        <v>0</v>
      </c>
      <c r="O52" s="203"/>
      <c r="P52" s="204">
        <f t="shared" si="3"/>
        <v>0</v>
      </c>
      <c r="Q52" s="200">
        <f t="shared" si="4"/>
        <v>50</v>
      </c>
      <c r="R52" s="182">
        <f t="shared" si="5"/>
        <v>15</v>
      </c>
      <c r="S52" s="205">
        <v>0</v>
      </c>
      <c r="T52" s="200">
        <f t="shared" si="6"/>
        <v>50</v>
      </c>
      <c r="U52" s="182">
        <f t="shared" si="7"/>
        <v>25</v>
      </c>
      <c r="V52" s="206">
        <f t="shared" si="8"/>
        <v>50</v>
      </c>
      <c r="W52" s="207" t="str">
        <f t="shared" si="24"/>
        <v>FAILED</v>
      </c>
      <c r="Z52" s="209">
        <v>0</v>
      </c>
      <c r="AA52" s="210">
        <v>0</v>
      </c>
      <c r="AB52" s="210">
        <v>0</v>
      </c>
      <c r="AC52" s="210"/>
      <c r="AD52" s="210"/>
      <c r="AE52" s="211"/>
      <c r="AF52" s="212">
        <f t="shared" si="9"/>
        <v>0</v>
      </c>
      <c r="AG52" s="213">
        <f t="shared" si="10"/>
        <v>50</v>
      </c>
      <c r="AH52" s="184">
        <f t="shared" si="11"/>
        <v>5</v>
      </c>
      <c r="AI52" s="209">
        <v>0</v>
      </c>
      <c r="AJ52" s="210">
        <v>0</v>
      </c>
      <c r="AK52" s="210">
        <v>0</v>
      </c>
      <c r="AL52" s="210"/>
      <c r="AM52" s="210"/>
      <c r="AN52" s="214"/>
      <c r="AO52" s="215">
        <f t="shared" si="12"/>
        <v>0</v>
      </c>
      <c r="AP52" s="213">
        <f t="shared" si="13"/>
        <v>50</v>
      </c>
      <c r="AQ52" s="184">
        <f t="shared" si="14"/>
        <v>20</v>
      </c>
      <c r="AR52" s="36">
        <v>0</v>
      </c>
      <c r="AS52" s="211"/>
      <c r="AT52" s="212">
        <f t="shared" si="15"/>
        <v>0</v>
      </c>
      <c r="AU52" s="213">
        <f t="shared" si="16"/>
        <v>50</v>
      </c>
      <c r="AV52" s="184">
        <f t="shared" si="17"/>
        <v>25</v>
      </c>
      <c r="AW52" s="216">
        <f t="shared" si="25"/>
        <v>50</v>
      </c>
      <c r="AX52" s="212" t="str">
        <f t="shared" si="26"/>
        <v>FAILED</v>
      </c>
      <c r="AZ52" s="200">
        <f t="shared" si="18"/>
        <v>30</v>
      </c>
      <c r="BA52" s="200">
        <f t="shared" si="19"/>
        <v>20</v>
      </c>
      <c r="BB52" s="200">
        <f t="shared" si="20"/>
        <v>50</v>
      </c>
      <c r="BC52" s="204" t="str">
        <f t="shared" si="21"/>
        <v>FAILED</v>
      </c>
    </row>
    <row r="53" spans="1:55" ht="19.2" thickTop="1" thickBot="1" x14ac:dyDescent="0.35">
      <c r="A53" s="19">
        <v>44</v>
      </c>
      <c r="B53" s="71" t="s">
        <v>71</v>
      </c>
      <c r="C53" s="128">
        <f>Attendance!AB51</f>
        <v>3</v>
      </c>
      <c r="D53" s="181">
        <f t="shared" si="22"/>
        <v>100</v>
      </c>
      <c r="E53" s="182">
        <f t="shared" ref="E53:E54" si="27">D53*0.05</f>
        <v>5</v>
      </c>
      <c r="F53" s="25">
        <v>35</v>
      </c>
      <c r="G53" s="29"/>
      <c r="H53" s="89"/>
      <c r="I53" s="120">
        <f t="shared" ref="I53:I54" si="28">SUM(F53:H53)</f>
        <v>35</v>
      </c>
      <c r="J53" s="151">
        <f t="shared" ref="J53:J54" si="29">(I53/SUM($F$9:$H$9))*50+50</f>
        <v>85</v>
      </c>
      <c r="K53" s="182">
        <f t="shared" ref="K53:K54" si="30">J53*0.15</f>
        <v>12.75</v>
      </c>
      <c r="L53" s="90">
        <v>7</v>
      </c>
      <c r="M53" s="29">
        <v>13</v>
      </c>
      <c r="N53" s="29">
        <v>6</v>
      </c>
      <c r="O53" s="89"/>
      <c r="P53" s="24">
        <f t="shared" ref="P53:P54" si="31">SUM(L53:O53)</f>
        <v>26</v>
      </c>
      <c r="Q53" s="151">
        <f t="shared" ref="Q53:Q54" si="32">(P53/SUM($L$9:$O$9))*50+50</f>
        <v>82.5</v>
      </c>
      <c r="R53" s="185">
        <f t="shared" ref="R53:R54" si="33">Q53*0.3</f>
        <v>24.75</v>
      </c>
      <c r="S53" s="121">
        <v>43</v>
      </c>
      <c r="T53" s="181">
        <f t="shared" ref="T53:T54" si="34">S53/($S$9)*50+50</f>
        <v>76.875</v>
      </c>
      <c r="U53" s="182">
        <f t="shared" ref="U53:U54" si="35">T53*0.5</f>
        <v>38.4375</v>
      </c>
      <c r="V53" s="131">
        <f t="shared" ref="V53:V54" si="36">SUM(U53,R53,K53,E53)</f>
        <v>80.9375</v>
      </c>
      <c r="W53" s="27" t="str">
        <f t="shared" ref="W53:W54" si="37">IF(V53&lt;74.5,"FAILED","PASSED")</f>
        <v>PASSED</v>
      </c>
      <c r="Y53" s="127"/>
      <c r="Z53" s="37">
        <v>3</v>
      </c>
      <c r="AA53" s="19">
        <v>3</v>
      </c>
      <c r="AB53" s="19">
        <v>3</v>
      </c>
      <c r="AC53" s="19"/>
      <c r="AD53" s="19"/>
      <c r="AE53" s="126"/>
      <c r="AF53" s="124">
        <f t="shared" ref="AF53:AF54" si="38">SUM(Z53:AE53)</f>
        <v>9</v>
      </c>
      <c r="AG53" s="179">
        <f t="shared" ref="AG53:AG54" si="39">(AF53/SUM($Z$9:$AE$9))*50+50</f>
        <v>100</v>
      </c>
      <c r="AH53" s="184">
        <f t="shared" ref="AH53:AH54" si="40">AG53*0.1</f>
        <v>10</v>
      </c>
      <c r="AI53" s="38">
        <v>80</v>
      </c>
      <c r="AJ53" s="19">
        <v>90</v>
      </c>
      <c r="AK53" s="19">
        <v>90</v>
      </c>
      <c r="AL53" s="19"/>
      <c r="AM53" s="19"/>
      <c r="AN53" s="126"/>
      <c r="AO53" s="124">
        <f t="shared" ref="AO53:AO54" si="41">SUM(AI53:AN53)</f>
        <v>260</v>
      </c>
      <c r="AP53" s="179">
        <f t="shared" ref="AP53:AP54" si="42">(AO53/SUM($AI$9:$AN$9))*50+50</f>
        <v>93.333333333333343</v>
      </c>
      <c r="AQ53" s="184">
        <f t="shared" ref="AQ53:AQ54" si="43">AP53*0.4</f>
        <v>37.333333333333336</v>
      </c>
      <c r="AR53" s="36">
        <v>80</v>
      </c>
      <c r="AS53" s="126"/>
      <c r="AT53" s="124">
        <f t="shared" ref="AT53:AT54" si="44">SUM(AR53:AS53)</f>
        <v>80</v>
      </c>
      <c r="AU53" s="179">
        <f t="shared" ref="AU53:AU54" si="45">(AT53/SUM($AR$9:$AS$9))*50+50</f>
        <v>90</v>
      </c>
      <c r="AV53" s="184">
        <f t="shared" ref="AV53:AV54" si="46">AU53*0.5</f>
        <v>45</v>
      </c>
      <c r="AW53" s="139">
        <f t="shared" ref="AW53:AW54" si="47">SUM(AV53,AQ53,AH53)</f>
        <v>92.333333333333343</v>
      </c>
      <c r="AX53" s="113" t="str">
        <f t="shared" ref="AX53:AX54" si="48">IF(AW53&lt;74.5, "FAILED", "PASSED")</f>
        <v>PASSED</v>
      </c>
      <c r="AZ53" s="151">
        <f t="shared" ref="AZ53:AZ54" si="49">V53*0.6</f>
        <v>48.5625</v>
      </c>
      <c r="BA53" s="151">
        <f t="shared" ref="BA53:BA54" si="50">AW53*0.4</f>
        <v>36.933333333333337</v>
      </c>
      <c r="BB53" s="151">
        <f t="shared" ref="BB53:BB54" si="51">SUM(AZ53:BA53)</f>
        <v>85.495833333333337</v>
      </c>
      <c r="BC53" s="24" t="str">
        <f t="shared" ref="BC53:BC54" si="52">IF(BB53&lt;74.5,"FAILED","PASSED")</f>
        <v>PASSED</v>
      </c>
    </row>
    <row r="54" spans="1:55" ht="19.2" thickTop="1" thickBot="1" x14ac:dyDescent="0.35">
      <c r="A54" s="19">
        <v>45</v>
      </c>
      <c r="B54" s="71" t="s">
        <v>72</v>
      </c>
      <c r="C54" s="128">
        <f>Attendance!AB52</f>
        <v>0</v>
      </c>
      <c r="D54" s="181">
        <f t="shared" si="22"/>
        <v>50</v>
      </c>
      <c r="E54" s="182">
        <f t="shared" si="27"/>
        <v>2.5</v>
      </c>
      <c r="F54" s="25">
        <v>35</v>
      </c>
      <c r="G54" s="21"/>
      <c r="H54" s="22"/>
      <c r="I54" s="120">
        <f t="shared" si="28"/>
        <v>35</v>
      </c>
      <c r="J54" s="151">
        <f t="shared" si="29"/>
        <v>85</v>
      </c>
      <c r="K54" s="182">
        <f t="shared" si="30"/>
        <v>12.75</v>
      </c>
      <c r="L54" s="23">
        <v>0</v>
      </c>
      <c r="M54" s="21">
        <v>0</v>
      </c>
      <c r="N54" s="21">
        <v>0</v>
      </c>
      <c r="O54" s="22"/>
      <c r="P54" s="91">
        <f t="shared" si="31"/>
        <v>0</v>
      </c>
      <c r="Q54" s="134">
        <f t="shared" si="32"/>
        <v>50</v>
      </c>
      <c r="R54" s="186">
        <f t="shared" si="33"/>
        <v>15</v>
      </c>
      <c r="S54" s="104">
        <v>0</v>
      </c>
      <c r="T54" s="181">
        <f t="shared" si="34"/>
        <v>50</v>
      </c>
      <c r="U54" s="182">
        <f t="shared" si="35"/>
        <v>25</v>
      </c>
      <c r="V54" s="131">
        <f t="shared" si="36"/>
        <v>55.25</v>
      </c>
      <c r="W54" s="27" t="str">
        <f t="shared" si="37"/>
        <v>FAILED</v>
      </c>
      <c r="Y54" s="127"/>
      <c r="Z54" s="30">
        <v>0</v>
      </c>
      <c r="AA54" s="31">
        <v>0</v>
      </c>
      <c r="AB54" s="31">
        <v>0</v>
      </c>
      <c r="AC54" s="31"/>
      <c r="AD54" s="31"/>
      <c r="AE54" s="32"/>
      <c r="AF54" s="124">
        <f t="shared" si="38"/>
        <v>0</v>
      </c>
      <c r="AG54" s="179">
        <f t="shared" si="39"/>
        <v>50</v>
      </c>
      <c r="AH54" s="184">
        <f t="shared" si="40"/>
        <v>5</v>
      </c>
      <c r="AI54" s="30">
        <v>0</v>
      </c>
      <c r="AJ54" s="31">
        <v>0</v>
      </c>
      <c r="AK54" s="31">
        <v>0</v>
      </c>
      <c r="AL54" s="31"/>
      <c r="AM54" s="31"/>
      <c r="AN54" s="32"/>
      <c r="AO54" s="124">
        <f t="shared" si="41"/>
        <v>0</v>
      </c>
      <c r="AP54" s="179">
        <f t="shared" si="42"/>
        <v>50</v>
      </c>
      <c r="AQ54" s="184">
        <f t="shared" si="43"/>
        <v>20</v>
      </c>
      <c r="AR54" s="36">
        <v>80</v>
      </c>
      <c r="AS54" s="32"/>
      <c r="AT54" s="124">
        <f t="shared" si="44"/>
        <v>80</v>
      </c>
      <c r="AU54" s="179">
        <f t="shared" si="45"/>
        <v>90</v>
      </c>
      <c r="AV54" s="184">
        <f t="shared" si="46"/>
        <v>45</v>
      </c>
      <c r="AW54" s="139">
        <f t="shared" si="47"/>
        <v>70</v>
      </c>
      <c r="AX54" s="113" t="str">
        <f t="shared" si="48"/>
        <v>FAILED</v>
      </c>
      <c r="AZ54" s="151">
        <f t="shared" si="49"/>
        <v>33.15</v>
      </c>
      <c r="BA54" s="151">
        <f t="shared" si="50"/>
        <v>28</v>
      </c>
      <c r="BB54" s="151">
        <f t="shared" si="51"/>
        <v>61.15</v>
      </c>
      <c r="BC54" s="24" t="str">
        <f t="shared" si="52"/>
        <v>FAILED</v>
      </c>
    </row>
    <row r="55" spans="1:55" ht="16.2" thickTop="1" x14ac:dyDescent="0.3">
      <c r="S55" s="129"/>
    </row>
  </sheetData>
  <mergeCells count="26">
    <mergeCell ref="AZ6:BC6"/>
    <mergeCell ref="AZ7:AZ8"/>
    <mergeCell ref="BA7:BA8"/>
    <mergeCell ref="BB7:BB8"/>
    <mergeCell ref="BC7:BC8"/>
    <mergeCell ref="L8:R8"/>
    <mergeCell ref="S8:U8"/>
    <mergeCell ref="Z8:AH8"/>
    <mergeCell ref="AI8:AQ8"/>
    <mergeCell ref="AR8:AV8"/>
    <mergeCell ref="C2:AX4"/>
    <mergeCell ref="C6:U6"/>
    <mergeCell ref="Z6:AX6"/>
    <mergeCell ref="C7:E7"/>
    <mergeCell ref="F7:K7"/>
    <mergeCell ref="L7:R7"/>
    <mergeCell ref="S7:U7"/>
    <mergeCell ref="V7:V8"/>
    <mergeCell ref="W7:W8"/>
    <mergeCell ref="Z7:AH7"/>
    <mergeCell ref="AI7:AQ7"/>
    <mergeCell ref="AR7:AV7"/>
    <mergeCell ref="AW7:AW8"/>
    <mergeCell ref="AX7:AX8"/>
    <mergeCell ref="C8:E8"/>
    <mergeCell ref="F8:K8"/>
  </mergeCells>
  <conditionalFormatting sqref="W10:W54">
    <cfRule type="containsText" dxfId="8" priority="5" operator="containsText" text="FAILED">
      <formula>NOT(ISERROR(SEARCH("FAILED",W10)))</formula>
    </cfRule>
    <cfRule type="containsText" dxfId="7" priority="6" operator="containsText" text="PASSED">
      <formula>NOT(ISERROR(SEARCH("PASSED",W10)))</formula>
    </cfRule>
  </conditionalFormatting>
  <conditionalFormatting sqref="AX10:AX54">
    <cfRule type="containsText" dxfId="6" priority="3" operator="containsText" text="PASSED">
      <formula>NOT(ISERROR(SEARCH("PASSED",AX10)))</formula>
    </cfRule>
    <cfRule type="containsText" dxfId="5" priority="4" operator="containsText" text="FAILED">
      <formula>NOT(ISERROR(SEARCH("FAILED",AX10)))</formula>
    </cfRule>
  </conditionalFormatting>
  <conditionalFormatting sqref="BC9:BC54">
    <cfRule type="containsText" dxfId="4" priority="1" operator="containsText" text="FAILED">
      <formula>NOT(ISERROR(SEARCH("FAILED",BC9)))</formula>
    </cfRule>
    <cfRule type="containsText" dxfId="3" priority="2" operator="containsText" text="PASSED">
      <formula>NOT(ISERROR(SEARCH("PASSED",BC9)))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2796D-0520-4C75-8491-4C7F5E951367}">
  <dimension ref="A1:G52"/>
  <sheetViews>
    <sheetView tabSelected="1" topLeftCell="A2" zoomScale="116" zoomScaleNormal="251" workbookViewId="0">
      <selection activeCell="I15" sqref="I15"/>
    </sheetView>
  </sheetViews>
  <sheetFormatPr defaultRowHeight="14.4" x14ac:dyDescent="0.3"/>
  <cols>
    <col min="1" max="1" width="4.77734375" customWidth="1"/>
    <col min="2" max="2" width="53.44140625" customWidth="1"/>
    <col min="3" max="3" width="17.5546875" customWidth="1"/>
    <col min="4" max="4" width="18.21875" customWidth="1"/>
    <col min="5" max="5" width="18" customWidth="1"/>
    <col min="6" max="6" width="18.44140625" customWidth="1"/>
    <col min="7" max="7" width="17.77734375" customWidth="1"/>
  </cols>
  <sheetData>
    <row r="1" spans="1:7" x14ac:dyDescent="0.3">
      <c r="B1" t="str">
        <f>Attendance!B1</f>
        <v>SUBJECT: IS 2</v>
      </c>
    </row>
    <row r="2" spans="1:7" x14ac:dyDescent="0.3">
      <c r="B2" t="str">
        <f>Attendance!B2</f>
        <v>COURSE/YEAR: BSIT 1D</v>
      </c>
    </row>
    <row r="3" spans="1:7" x14ac:dyDescent="0.3">
      <c r="B3" t="str">
        <f>Attendance!B3</f>
        <v>TIME: 1:00 PM - 5:00 PM</v>
      </c>
    </row>
    <row r="4" spans="1:7" x14ac:dyDescent="0.3">
      <c r="B4" t="str">
        <f>Attendance!B4</f>
        <v>ROOM: COMPLAB 4</v>
      </c>
    </row>
    <row r="5" spans="1:7" x14ac:dyDescent="0.3">
      <c r="B5" t="str">
        <f>Attendance!B5</f>
        <v>UNITS: 2</v>
      </c>
    </row>
    <row r="7" spans="1:7" x14ac:dyDescent="0.3">
      <c r="A7" s="192" t="str">
        <f>Attendance!A7</f>
        <v>No.</v>
      </c>
      <c r="B7" s="187" t="str">
        <f>Attendance!B7</f>
        <v>Student Name</v>
      </c>
      <c r="C7" s="188" t="s">
        <v>74</v>
      </c>
      <c r="D7" s="188" t="s">
        <v>75</v>
      </c>
      <c r="E7" s="188" t="s">
        <v>76</v>
      </c>
      <c r="F7" s="188" t="s">
        <v>24</v>
      </c>
      <c r="G7" s="188" t="s">
        <v>21</v>
      </c>
    </row>
    <row r="8" spans="1:7" x14ac:dyDescent="0.3">
      <c r="A8" s="63">
        <f>Attendance!A8</f>
        <v>1</v>
      </c>
      <c r="B8" s="189" t="str">
        <f>Attendance!B8</f>
        <v>Alcantara, Albert Marquez</v>
      </c>
      <c r="C8" s="190">
        <f>Prelim!BB10</f>
        <v>83.474999999999994</v>
      </c>
      <c r="D8" s="190">
        <f>Midterm!BB10</f>
        <v>87.223333333333329</v>
      </c>
      <c r="E8" s="190">
        <f>Final!BB10</f>
        <v>85.145833333333343</v>
      </c>
      <c r="F8" s="190">
        <f>AVERAGE(C8:E8)</f>
        <v>85.281388888888884</v>
      </c>
      <c r="G8" s="191" t="str">
        <f>IF(F8&lt;74.5,"FAILED","PASSED")</f>
        <v>PASSED</v>
      </c>
    </row>
    <row r="9" spans="1:7" x14ac:dyDescent="0.3">
      <c r="A9" s="63">
        <f>Attendance!A9</f>
        <v>2</v>
      </c>
      <c r="B9" s="189" t="str">
        <f>Attendance!B9</f>
        <v>Aliaga, Rence Carl Medeloso</v>
      </c>
      <c r="C9" s="190">
        <f>Prelim!BB11</f>
        <v>88</v>
      </c>
      <c r="D9" s="190">
        <f>Midterm!BB11</f>
        <v>85.648333333333341</v>
      </c>
      <c r="E9" s="190">
        <f>Final!BB11</f>
        <v>74.875</v>
      </c>
      <c r="F9" s="190">
        <f t="shared" ref="F9:F52" si="0">AVERAGE(C9:E9)</f>
        <v>82.841111111111118</v>
      </c>
      <c r="G9" s="191" t="str">
        <f t="shared" ref="G9:G52" si="1">IF(F9&lt;74.5,"FAILED","PASSED")</f>
        <v>PASSED</v>
      </c>
    </row>
    <row r="10" spans="1:7" x14ac:dyDescent="0.3">
      <c r="A10" s="63">
        <f>Attendance!A10</f>
        <v>3</v>
      </c>
      <c r="B10" s="189" t="str">
        <f>Attendance!B10</f>
        <v>Almirol, Rheyjan Collado</v>
      </c>
      <c r="C10" s="190">
        <f>Prelim!BB12</f>
        <v>77.112499999999997</v>
      </c>
      <c r="D10" s="190">
        <f>Midterm!BB12</f>
        <v>89.59</v>
      </c>
      <c r="E10" s="190">
        <f>Final!BB12</f>
        <v>83.837500000000006</v>
      </c>
      <c r="F10" s="190">
        <f t="shared" si="0"/>
        <v>83.513333333333335</v>
      </c>
      <c r="G10" s="191" t="str">
        <f t="shared" si="1"/>
        <v>PASSED</v>
      </c>
    </row>
    <row r="11" spans="1:7" x14ac:dyDescent="0.3">
      <c r="A11" s="63">
        <f>Attendance!A11</f>
        <v>4</v>
      </c>
      <c r="B11" s="189" t="str">
        <f>Attendance!B11</f>
        <v>Andiano, Noel Rabago</v>
      </c>
      <c r="C11" s="190">
        <f>Prelim!BB13</f>
        <v>86.025000000000006</v>
      </c>
      <c r="D11" s="190">
        <f>Midterm!BB13</f>
        <v>82.660833333333329</v>
      </c>
      <c r="E11" s="190">
        <f>Final!BB13</f>
        <v>68.875</v>
      </c>
      <c r="F11" s="190">
        <f t="shared" si="0"/>
        <v>79.18694444444445</v>
      </c>
      <c r="G11" s="191" t="str">
        <f t="shared" si="1"/>
        <v>PASSED</v>
      </c>
    </row>
    <row r="12" spans="1:7" x14ac:dyDescent="0.3">
      <c r="A12" s="63">
        <f>Attendance!A12</f>
        <v>5</v>
      </c>
      <c r="B12" s="189" t="str">
        <f>Attendance!B12</f>
        <v>Ante, Clyde Mhyco Mendoza</v>
      </c>
      <c r="C12" s="190">
        <f>Prelim!BB14</f>
        <v>76.824999999999989</v>
      </c>
      <c r="D12" s="190">
        <f>Midterm!BB14</f>
        <v>67.979166666666657</v>
      </c>
      <c r="E12" s="190">
        <f>Final!BB14</f>
        <v>66.587500000000006</v>
      </c>
      <c r="F12" s="190">
        <f t="shared" si="0"/>
        <v>70.463888888888889</v>
      </c>
      <c r="G12" s="191" t="str">
        <f t="shared" si="1"/>
        <v>FAILED</v>
      </c>
    </row>
    <row r="13" spans="1:7" x14ac:dyDescent="0.3">
      <c r="A13" s="63">
        <f>Attendance!A13</f>
        <v>6</v>
      </c>
      <c r="B13" s="189" t="str">
        <f>Attendance!B13</f>
        <v>Antiporda, Jay Mark Cabes</v>
      </c>
      <c r="C13" s="190">
        <f>Prelim!BB15</f>
        <v>91.625</v>
      </c>
      <c r="D13" s="190">
        <f>Midterm!BB15</f>
        <v>89.155000000000001</v>
      </c>
      <c r="E13" s="190">
        <f>Final!BB15</f>
        <v>85.284166666666664</v>
      </c>
      <c r="F13" s="190">
        <f t="shared" si="0"/>
        <v>88.68805555555555</v>
      </c>
      <c r="G13" s="191" t="str">
        <f t="shared" si="1"/>
        <v>PASSED</v>
      </c>
    </row>
    <row r="14" spans="1:7" x14ac:dyDescent="0.3">
      <c r="A14" s="63">
        <f>Attendance!A14</f>
        <v>7</v>
      </c>
      <c r="B14" s="189" t="str">
        <f>Attendance!B14</f>
        <v>Aragon, Jaspher Hanly Tejada</v>
      </c>
      <c r="C14" s="190">
        <f>Prelim!BB16</f>
        <v>90.837500000000006</v>
      </c>
      <c r="D14" s="190">
        <f>Midterm!BB16</f>
        <v>91.47</v>
      </c>
      <c r="E14" s="190">
        <f>Final!BB16</f>
        <v>79.42916666666666</v>
      </c>
      <c r="F14" s="190">
        <f t="shared" si="0"/>
        <v>87.245555555555555</v>
      </c>
      <c r="G14" s="191" t="str">
        <f t="shared" si="1"/>
        <v>PASSED</v>
      </c>
    </row>
    <row r="15" spans="1:7" x14ac:dyDescent="0.3">
      <c r="A15" s="63">
        <f>Attendance!A15</f>
        <v>8</v>
      </c>
      <c r="B15" s="189" t="str">
        <f>Attendance!B15</f>
        <v>Armada, Donie Lagania</v>
      </c>
      <c r="C15" s="190">
        <f>Prelim!BB17</f>
        <v>94.262499999999989</v>
      </c>
      <c r="D15" s="190">
        <f>Midterm!BB17</f>
        <v>95.685000000000002</v>
      </c>
      <c r="E15" s="190">
        <f>Final!BB17</f>
        <v>80.612499999999997</v>
      </c>
      <c r="F15" s="190">
        <f t="shared" si="0"/>
        <v>90.186666666666667</v>
      </c>
      <c r="G15" s="191" t="str">
        <f t="shared" si="1"/>
        <v>PASSED</v>
      </c>
    </row>
    <row r="16" spans="1:7" x14ac:dyDescent="0.3">
      <c r="A16" s="63">
        <f>Attendance!A16</f>
        <v>9</v>
      </c>
      <c r="B16" s="189" t="str">
        <f>Attendance!B16</f>
        <v>Banquil, Clarissa Marie Gonzaga</v>
      </c>
      <c r="C16" s="190">
        <f>Prelim!BB18</f>
        <v>94.025000000000006</v>
      </c>
      <c r="D16" s="190">
        <f>Midterm!BB18</f>
        <v>92.490000000000009</v>
      </c>
      <c r="E16" s="190">
        <f>Final!BB18</f>
        <v>86.15</v>
      </c>
      <c r="F16" s="190">
        <f t="shared" si="0"/>
        <v>90.888333333333335</v>
      </c>
      <c r="G16" s="191" t="str">
        <f t="shared" si="1"/>
        <v>PASSED</v>
      </c>
    </row>
    <row r="17" spans="1:7" x14ac:dyDescent="0.3">
      <c r="A17" s="63">
        <f>Attendance!A17</f>
        <v>10</v>
      </c>
      <c r="B17" s="189" t="str">
        <f>Attendance!B17</f>
        <v>Bas, Disney Claire Barde</v>
      </c>
      <c r="C17" s="190">
        <f>Prelim!BB19</f>
        <v>95.887500000000003</v>
      </c>
      <c r="D17" s="190">
        <f>Midterm!BB19</f>
        <v>95.077500000000015</v>
      </c>
      <c r="E17" s="190">
        <f>Final!BB19</f>
        <v>87.775000000000006</v>
      </c>
      <c r="F17" s="190">
        <f t="shared" si="0"/>
        <v>92.913333333333341</v>
      </c>
      <c r="G17" s="191" t="str">
        <f t="shared" si="1"/>
        <v>PASSED</v>
      </c>
    </row>
    <row r="18" spans="1:7" x14ac:dyDescent="0.3">
      <c r="A18" s="63">
        <f>Attendance!A18</f>
        <v>11</v>
      </c>
      <c r="B18" s="189" t="str">
        <f>Attendance!B18</f>
        <v>Baynosa, Paul Yvanne Alinday</v>
      </c>
      <c r="C18" s="190">
        <f>Prelim!BB20</f>
        <v>89.525000000000006</v>
      </c>
      <c r="D18" s="190">
        <f>Midterm!BB20</f>
        <v>77.36666666666666</v>
      </c>
      <c r="E18" s="190">
        <f>Final!BB20</f>
        <v>68.837500000000006</v>
      </c>
      <c r="F18" s="190">
        <f t="shared" si="0"/>
        <v>78.576388888888886</v>
      </c>
      <c r="G18" s="191" t="str">
        <f t="shared" si="1"/>
        <v>PASSED</v>
      </c>
    </row>
    <row r="19" spans="1:7" x14ac:dyDescent="0.3">
      <c r="A19" s="63">
        <f>Attendance!A19</f>
        <v>12</v>
      </c>
      <c r="B19" s="189" t="str">
        <f>Attendance!B19</f>
        <v>Benig, Timothy Jade Crave</v>
      </c>
      <c r="C19" s="190">
        <f>Prelim!BB21</f>
        <v>90.362499999999997</v>
      </c>
      <c r="D19" s="190">
        <f>Midterm!BB21</f>
        <v>84.229166666666657</v>
      </c>
      <c r="E19" s="190">
        <f>Final!BB21</f>
        <v>69.775000000000006</v>
      </c>
      <c r="F19" s="190">
        <f t="shared" si="0"/>
        <v>81.455555555555549</v>
      </c>
      <c r="G19" s="191" t="str">
        <f t="shared" si="1"/>
        <v>PASSED</v>
      </c>
    </row>
    <row r="20" spans="1:7" x14ac:dyDescent="0.3">
      <c r="A20" s="63">
        <f>Attendance!A20</f>
        <v>13</v>
      </c>
      <c r="B20" s="189" t="str">
        <f>Attendance!B20</f>
        <v>Bolambao, Elaiza Claire Umbay</v>
      </c>
      <c r="C20" s="190">
        <f>Prelim!BB22</f>
        <v>93.224999999999994</v>
      </c>
      <c r="D20" s="190">
        <f>Midterm!BB22</f>
        <v>90.49</v>
      </c>
      <c r="E20" s="190">
        <f>Final!BB22</f>
        <v>68.949999999999989</v>
      </c>
      <c r="F20" s="190">
        <f t="shared" si="0"/>
        <v>84.22166666666665</v>
      </c>
      <c r="G20" s="191" t="str">
        <f t="shared" si="1"/>
        <v>PASSED</v>
      </c>
    </row>
    <row r="21" spans="1:7" x14ac:dyDescent="0.3">
      <c r="A21" s="63">
        <f>Attendance!A21</f>
        <v>14</v>
      </c>
      <c r="B21" s="189" t="str">
        <f>Attendance!B21</f>
        <v>Bulado, Dexter Camillo</v>
      </c>
      <c r="C21" s="190">
        <f>Prelim!BB23</f>
        <v>77.275000000000006</v>
      </c>
      <c r="D21" s="190">
        <f>Midterm!BB23</f>
        <v>78.046666666666667</v>
      </c>
      <c r="E21" s="190">
        <v>65</v>
      </c>
      <c r="F21" s="190">
        <f t="shared" si="0"/>
        <v>73.440555555555548</v>
      </c>
      <c r="G21" s="191" t="str">
        <f t="shared" si="1"/>
        <v>FAILED</v>
      </c>
    </row>
    <row r="22" spans="1:7" x14ac:dyDescent="0.3">
      <c r="A22" s="63">
        <f>Attendance!A22</f>
        <v>15</v>
      </c>
      <c r="B22" s="189" t="str">
        <f>Attendance!B22</f>
        <v>Cagang, Anjune Carcueva</v>
      </c>
      <c r="C22" s="190">
        <f>Prelim!BB24</f>
        <v>94.6875</v>
      </c>
      <c r="D22" s="190">
        <f>Midterm!BB24</f>
        <v>92.302500000000009</v>
      </c>
      <c r="E22" s="190">
        <f>Final!BB24</f>
        <v>82.133333333333326</v>
      </c>
      <c r="F22" s="190">
        <f t="shared" si="0"/>
        <v>89.707777777777778</v>
      </c>
      <c r="G22" s="191" t="str">
        <f t="shared" si="1"/>
        <v>PASSED</v>
      </c>
    </row>
    <row r="23" spans="1:7" x14ac:dyDescent="0.3">
      <c r="A23" s="63">
        <f>Attendance!A23</f>
        <v>16</v>
      </c>
      <c r="B23" s="189" t="str">
        <f>Attendance!B23</f>
        <v>Datuin, Francis Carl Mag-aso</v>
      </c>
      <c r="C23" s="190">
        <f>Prelim!BB25</f>
        <v>84.5625</v>
      </c>
      <c r="D23" s="190">
        <f>Midterm!BB25</f>
        <v>79.711666666666673</v>
      </c>
      <c r="E23" s="190">
        <f>Final!BB25</f>
        <v>76.354166666666657</v>
      </c>
      <c r="F23" s="190">
        <f t="shared" si="0"/>
        <v>80.209444444444443</v>
      </c>
      <c r="G23" s="191" t="str">
        <f t="shared" si="1"/>
        <v>PASSED</v>
      </c>
    </row>
    <row r="24" spans="1:7" x14ac:dyDescent="0.3">
      <c r="A24" s="63">
        <f>Attendance!A24</f>
        <v>17</v>
      </c>
      <c r="B24" s="189" t="str">
        <f>Attendance!B24</f>
        <v>Detoperez, Knytz Panizales</v>
      </c>
      <c r="C24" s="190">
        <f>Prelim!BB26</f>
        <v>82.212500000000006</v>
      </c>
      <c r="D24" s="190">
        <f>Midterm!BB26</f>
        <v>92.234999999999999</v>
      </c>
      <c r="E24" s="190">
        <f>Final!BB26</f>
        <v>83.720833333333331</v>
      </c>
      <c r="F24" s="190">
        <f t="shared" si="0"/>
        <v>86.056111111111093</v>
      </c>
      <c r="G24" s="191" t="str">
        <f t="shared" si="1"/>
        <v>PASSED</v>
      </c>
    </row>
    <row r="25" spans="1:7" x14ac:dyDescent="0.3">
      <c r="A25" s="63">
        <f>Attendance!A25</f>
        <v>18</v>
      </c>
      <c r="B25" s="189" t="str">
        <f>Attendance!B25</f>
        <v>Dilanggalen, Hanz Amher Rollo</v>
      </c>
      <c r="C25" s="190">
        <f>Prelim!BB27</f>
        <v>93.8125</v>
      </c>
      <c r="D25" s="190">
        <f>Midterm!BB27</f>
        <v>88.754999999999995</v>
      </c>
      <c r="E25" s="190">
        <f>Final!BB27</f>
        <v>85.038333333333327</v>
      </c>
      <c r="F25" s="190">
        <f t="shared" si="0"/>
        <v>89.201944444444436</v>
      </c>
      <c r="G25" s="191" t="str">
        <f t="shared" si="1"/>
        <v>PASSED</v>
      </c>
    </row>
    <row r="26" spans="1:7" x14ac:dyDescent="0.3">
      <c r="A26" s="63">
        <f>Attendance!A26</f>
        <v>19</v>
      </c>
      <c r="B26" s="189" t="str">
        <f>Attendance!B26</f>
        <v>Domingo, Arsenio Jr. Dioleste</v>
      </c>
      <c r="C26" s="190">
        <f>Prelim!BB28</f>
        <v>94.65</v>
      </c>
      <c r="D26" s="190">
        <f>Midterm!BB28</f>
        <v>93.765000000000001</v>
      </c>
      <c r="E26" s="190">
        <f>Final!BB28</f>
        <v>85.291666666666657</v>
      </c>
      <c r="F26" s="190">
        <f t="shared" si="0"/>
        <v>91.235555555555564</v>
      </c>
      <c r="G26" s="191" t="str">
        <f t="shared" si="1"/>
        <v>PASSED</v>
      </c>
    </row>
    <row r="27" spans="1:7" x14ac:dyDescent="0.3">
      <c r="A27" s="63">
        <f>Attendance!A27</f>
        <v>20</v>
      </c>
      <c r="B27" s="189" t="str">
        <f>Attendance!B27</f>
        <v>Donque, Princess Althea Cabalud</v>
      </c>
      <c r="C27" s="190">
        <f>Prelim!BB29</f>
        <v>97.324999999999989</v>
      </c>
      <c r="D27" s="190">
        <f>Midterm!BB29</f>
        <v>95.524999999999991</v>
      </c>
      <c r="E27" s="190">
        <f>Final!BB29</f>
        <v>92.158333333333331</v>
      </c>
      <c r="F27" s="190">
        <f t="shared" si="0"/>
        <v>95.00277777777778</v>
      </c>
      <c r="G27" s="191" t="str">
        <f t="shared" si="1"/>
        <v>PASSED</v>
      </c>
    </row>
    <row r="28" spans="1:7" x14ac:dyDescent="0.3">
      <c r="A28" s="63">
        <f>Attendance!A28</f>
        <v>21</v>
      </c>
      <c r="B28" s="189" t="str">
        <f>Attendance!B28</f>
        <v>Duldulao, Clark Anthony Malasador</v>
      </c>
      <c r="C28" s="190">
        <f>Prelim!BB30</f>
        <v>87.212500000000006</v>
      </c>
      <c r="D28" s="190">
        <f>Midterm!BB30</f>
        <v>88.33</v>
      </c>
      <c r="E28" s="190">
        <f>Final!BB30</f>
        <v>80.416666666666671</v>
      </c>
      <c r="F28" s="190">
        <f t="shared" si="0"/>
        <v>85.319722222222239</v>
      </c>
      <c r="G28" s="191" t="str">
        <f t="shared" si="1"/>
        <v>PASSED</v>
      </c>
    </row>
    <row r="29" spans="1:7" x14ac:dyDescent="0.3">
      <c r="A29" s="63">
        <f>Attendance!A29</f>
        <v>22</v>
      </c>
      <c r="B29" s="189" t="str">
        <f>Attendance!B29</f>
        <v>Estorpe, Marjun Gablines</v>
      </c>
      <c r="C29" s="190">
        <f>Prelim!BB31</f>
        <v>93.875</v>
      </c>
      <c r="D29" s="190">
        <f>Midterm!BB31</f>
        <v>87.185000000000002</v>
      </c>
      <c r="E29" s="190">
        <f>Final!BB31</f>
        <v>83.962500000000006</v>
      </c>
      <c r="F29" s="190">
        <f t="shared" si="0"/>
        <v>88.34083333333335</v>
      </c>
      <c r="G29" s="191" t="str">
        <f t="shared" si="1"/>
        <v>PASSED</v>
      </c>
    </row>
    <row r="30" spans="1:7" x14ac:dyDescent="0.3">
      <c r="A30" s="63">
        <f>Attendance!A30</f>
        <v>23</v>
      </c>
      <c r="B30" s="189" t="str">
        <f>Attendance!B30</f>
        <v>Getalla, Jhon Mike Delig</v>
      </c>
      <c r="C30" s="190">
        <f>Prelim!BB32</f>
        <v>94.6875</v>
      </c>
      <c r="D30" s="190">
        <f>Midterm!BB32</f>
        <v>91.092500000000001</v>
      </c>
      <c r="E30" s="190">
        <f>Final!BB32</f>
        <v>82.220833333333331</v>
      </c>
      <c r="F30" s="190">
        <f t="shared" si="0"/>
        <v>89.333611111111111</v>
      </c>
      <c r="G30" s="191" t="str">
        <f t="shared" si="1"/>
        <v>PASSED</v>
      </c>
    </row>
    <row r="31" spans="1:7" x14ac:dyDescent="0.3">
      <c r="A31" s="63">
        <f>Attendance!A31</f>
        <v>24</v>
      </c>
      <c r="B31" s="189" t="str">
        <f>Attendance!B31</f>
        <v>Grado, Geron Gregory Lupase</v>
      </c>
      <c r="C31" s="190">
        <f>Prelim!BB33</f>
        <v>91.987499999999997</v>
      </c>
      <c r="D31" s="190">
        <f>Midterm!BB33</f>
        <v>95.697499999999991</v>
      </c>
      <c r="E31" s="190">
        <f>Final!BB33</f>
        <v>93.74666666666667</v>
      </c>
      <c r="F31" s="190">
        <f t="shared" si="0"/>
        <v>93.810555555555553</v>
      </c>
      <c r="G31" s="191" t="str">
        <f t="shared" si="1"/>
        <v>PASSED</v>
      </c>
    </row>
    <row r="32" spans="1:7" x14ac:dyDescent="0.3">
      <c r="A32" s="63">
        <f>Attendance!A32</f>
        <v>25</v>
      </c>
      <c r="B32" s="189" t="str">
        <f>Attendance!B32</f>
        <v>Jarina, Jirk Llanita</v>
      </c>
      <c r="C32" s="190">
        <f>Prelim!BB34</f>
        <v>92.662499999999994</v>
      </c>
      <c r="D32" s="190">
        <f>Midterm!BB34</f>
        <v>96.29</v>
      </c>
      <c r="E32" s="190">
        <f>Final!BB34</f>
        <v>90.495833333333337</v>
      </c>
      <c r="F32" s="190">
        <f t="shared" si="0"/>
        <v>93.149444444444441</v>
      </c>
      <c r="G32" s="191" t="str">
        <f t="shared" si="1"/>
        <v>PASSED</v>
      </c>
    </row>
    <row r="33" spans="1:7" x14ac:dyDescent="0.3">
      <c r="A33" s="63">
        <f>Attendance!A33</f>
        <v>26</v>
      </c>
      <c r="B33" s="189" t="str">
        <f>Attendance!B33</f>
        <v>Kalaw, Stephen Val Pajes</v>
      </c>
      <c r="C33" s="190">
        <f>Prelim!BB35</f>
        <v>92.050000000000011</v>
      </c>
      <c r="D33" s="190">
        <f>Midterm!BB35</f>
        <v>79.141666666666666</v>
      </c>
      <c r="E33" s="190">
        <f>Final!BB35</f>
        <v>61.15</v>
      </c>
      <c r="F33" s="190">
        <f t="shared" si="0"/>
        <v>77.447222222222223</v>
      </c>
      <c r="G33" s="191" t="str">
        <f t="shared" si="1"/>
        <v>PASSED</v>
      </c>
    </row>
    <row r="34" spans="1:7" x14ac:dyDescent="0.3">
      <c r="A34" s="63">
        <f>Attendance!A34</f>
        <v>27</v>
      </c>
      <c r="B34" s="189" t="str">
        <f>Attendance!B34</f>
        <v>Lapez, Kobei Ryant Valenzuela</v>
      </c>
      <c r="C34" s="190">
        <f>Prelim!BB36</f>
        <v>83.762499999999989</v>
      </c>
      <c r="D34" s="190">
        <f>Midterm!BB36</f>
        <v>78.089166666666671</v>
      </c>
      <c r="E34" s="190">
        <f>Final!BB36</f>
        <v>73.375</v>
      </c>
      <c r="F34" s="190">
        <f t="shared" si="0"/>
        <v>78.408888888888882</v>
      </c>
      <c r="G34" s="191" t="str">
        <f t="shared" si="1"/>
        <v>PASSED</v>
      </c>
    </row>
    <row r="35" spans="1:7" x14ac:dyDescent="0.3">
      <c r="A35" s="63">
        <f>Attendance!A35</f>
        <v>28</v>
      </c>
      <c r="B35" s="189" t="str">
        <f>Attendance!B35</f>
        <v>Logro, Gerald Capipilan</v>
      </c>
      <c r="C35" s="190">
        <f>Prelim!BB37</f>
        <v>94.55</v>
      </c>
      <c r="D35" s="190">
        <f>Midterm!BB37</f>
        <v>93.162499999999994</v>
      </c>
      <c r="E35" s="190">
        <f>Final!BB37</f>
        <v>77.087500000000006</v>
      </c>
      <c r="F35" s="190">
        <f t="shared" si="0"/>
        <v>88.266666666666652</v>
      </c>
      <c r="G35" s="191" t="str">
        <f t="shared" si="1"/>
        <v>PASSED</v>
      </c>
    </row>
    <row r="36" spans="1:7" x14ac:dyDescent="0.3">
      <c r="A36" s="63">
        <f>Attendance!A36</f>
        <v>29</v>
      </c>
      <c r="B36" s="189" t="str">
        <f>Attendance!B36</f>
        <v>Macas, Joriemel Dumam-ag</v>
      </c>
      <c r="C36" s="190">
        <f>Prelim!BB38</f>
        <v>91.137499999999989</v>
      </c>
      <c r="D36" s="190">
        <f>Midterm!BB38</f>
        <v>93.564999999999998</v>
      </c>
      <c r="E36" s="190">
        <f>Final!BB38</f>
        <v>89.266666666666652</v>
      </c>
      <c r="F36" s="190">
        <f t="shared" si="0"/>
        <v>91.323055555555541</v>
      </c>
      <c r="G36" s="191" t="str">
        <f t="shared" si="1"/>
        <v>PASSED</v>
      </c>
    </row>
    <row r="37" spans="1:7" x14ac:dyDescent="0.3">
      <c r="A37" s="63">
        <f>Attendance!A37</f>
        <v>30</v>
      </c>
      <c r="B37" s="189" t="str">
        <f>Attendance!B37</f>
        <v>Manticayan, Janine Gurdo</v>
      </c>
      <c r="C37" s="190">
        <f>Prelim!BB39</f>
        <v>96.824999999999989</v>
      </c>
      <c r="D37" s="190">
        <f>Midterm!BB39</f>
        <v>95.632499999999993</v>
      </c>
      <c r="E37" s="190">
        <f>Final!BB39</f>
        <v>79.824999999999989</v>
      </c>
      <c r="F37" s="190">
        <f t="shared" si="0"/>
        <v>90.760833333333323</v>
      </c>
      <c r="G37" s="191" t="str">
        <f t="shared" si="1"/>
        <v>PASSED</v>
      </c>
    </row>
    <row r="38" spans="1:7" x14ac:dyDescent="0.3">
      <c r="A38" s="63">
        <f>Attendance!A38</f>
        <v>31</v>
      </c>
      <c r="B38" s="189" t="str">
        <f>Attendance!B38</f>
        <v>Mojal, Mariel Key Sarra</v>
      </c>
      <c r="C38" s="190">
        <f>Prelim!BB40</f>
        <v>96.387499999999989</v>
      </c>
      <c r="D38" s="190">
        <f>Midterm!BB40</f>
        <v>93.64</v>
      </c>
      <c r="E38" s="190">
        <f>Final!BB40</f>
        <v>88.2</v>
      </c>
      <c r="F38" s="190">
        <f t="shared" si="0"/>
        <v>92.742499999999993</v>
      </c>
      <c r="G38" s="191" t="str">
        <f t="shared" si="1"/>
        <v>PASSED</v>
      </c>
    </row>
    <row r="39" spans="1:7" x14ac:dyDescent="0.3">
      <c r="A39" s="63">
        <f>Attendance!A39</f>
        <v>32</v>
      </c>
      <c r="B39" s="189" t="str">
        <f>Attendance!B39</f>
        <v>Nabua, Riel Andrew Banguiz</v>
      </c>
      <c r="C39" s="190">
        <f>Prelim!BB41</f>
        <v>77.987500000000011</v>
      </c>
      <c r="D39" s="190">
        <f>Midterm!BB41</f>
        <v>82.185833333333335</v>
      </c>
      <c r="E39" s="190">
        <f>Final!BB41</f>
        <v>75.474999999999994</v>
      </c>
      <c r="F39" s="190">
        <f t="shared" si="0"/>
        <v>78.549444444444447</v>
      </c>
      <c r="G39" s="191" t="str">
        <f t="shared" si="1"/>
        <v>PASSED</v>
      </c>
    </row>
    <row r="40" spans="1:7" x14ac:dyDescent="0.3">
      <c r="A40" s="63">
        <f>Attendance!A40</f>
        <v>33</v>
      </c>
      <c r="B40" s="189" t="str">
        <f>Attendance!B40</f>
        <v>Nicolas, Beyonce Sophia Tuan</v>
      </c>
      <c r="C40" s="190">
        <f>Prelim!BB42</f>
        <v>92.1875</v>
      </c>
      <c r="D40" s="190">
        <f>Midterm!BB42</f>
        <v>82.094166666666666</v>
      </c>
      <c r="E40" s="190">
        <f>Final!BB42</f>
        <v>69.683333333333337</v>
      </c>
      <c r="F40" s="190">
        <f t="shared" si="0"/>
        <v>81.321666666666673</v>
      </c>
      <c r="G40" s="191" t="str">
        <f t="shared" si="1"/>
        <v>PASSED</v>
      </c>
    </row>
    <row r="41" spans="1:7" x14ac:dyDescent="0.3">
      <c r="A41" s="63">
        <f>Attendance!A41</f>
        <v>34</v>
      </c>
      <c r="B41" s="189" t="str">
        <f>Attendance!B41</f>
        <v>Padagas, Karl Robyn Padrones</v>
      </c>
      <c r="C41" s="190">
        <v>83</v>
      </c>
      <c r="D41" s="190">
        <v>65</v>
      </c>
      <c r="E41" s="190">
        <v>78</v>
      </c>
      <c r="F41" s="190">
        <f t="shared" si="0"/>
        <v>75.333333333333329</v>
      </c>
      <c r="G41" s="191" t="str">
        <f t="shared" si="1"/>
        <v>PASSED</v>
      </c>
    </row>
    <row r="42" spans="1:7" x14ac:dyDescent="0.3">
      <c r="A42" s="63">
        <f>Attendance!A42</f>
        <v>35</v>
      </c>
      <c r="B42" s="189" t="str">
        <f>Attendance!B42</f>
        <v>Recarse, Princess Aubrey Grace Requita</v>
      </c>
      <c r="C42" s="190">
        <f>Prelim!BB44</f>
        <v>89.2</v>
      </c>
      <c r="D42" s="190">
        <f>Midterm!BB44</f>
        <v>80.183333333333337</v>
      </c>
      <c r="E42" s="190">
        <f>Final!BB44</f>
        <v>76.95</v>
      </c>
      <c r="F42" s="190">
        <f t="shared" si="0"/>
        <v>82.1111111111111</v>
      </c>
      <c r="G42" s="191" t="str">
        <f t="shared" si="1"/>
        <v>PASSED</v>
      </c>
    </row>
    <row r="43" spans="1:7" x14ac:dyDescent="0.3">
      <c r="A43" s="63">
        <f>Attendance!A43</f>
        <v>36</v>
      </c>
      <c r="B43" s="189" t="str">
        <f>Attendance!B43</f>
        <v>Sali, Kim Amher Esteban</v>
      </c>
      <c r="C43" s="190">
        <f>Prelim!BB45</f>
        <v>95.262499999999989</v>
      </c>
      <c r="D43" s="190">
        <f>Midterm!BB45</f>
        <v>92.297499999999999</v>
      </c>
      <c r="E43" s="190">
        <f>Final!BB45</f>
        <v>89.33</v>
      </c>
      <c r="F43" s="190">
        <f t="shared" si="0"/>
        <v>92.296666666666667</v>
      </c>
      <c r="G43" s="191" t="str">
        <f t="shared" si="1"/>
        <v>PASSED</v>
      </c>
    </row>
    <row r="44" spans="1:7" x14ac:dyDescent="0.3">
      <c r="A44" s="63">
        <f>Attendance!A44</f>
        <v>37</v>
      </c>
      <c r="B44" s="189" t="str">
        <f>Attendance!B44</f>
        <v>Saludares, Etherlyne Faith Esparas</v>
      </c>
      <c r="C44" s="190">
        <f>Prelim!BB46</f>
        <v>96.212500000000006</v>
      </c>
      <c r="D44" s="190">
        <f>Midterm!BB46</f>
        <v>93.313333333333333</v>
      </c>
      <c r="E44" s="190">
        <f>Final!BB46</f>
        <v>90.025000000000006</v>
      </c>
      <c r="F44" s="190">
        <f t="shared" si="0"/>
        <v>93.183611111111119</v>
      </c>
      <c r="G44" s="191" t="str">
        <f t="shared" si="1"/>
        <v>PASSED</v>
      </c>
    </row>
    <row r="45" spans="1:7" x14ac:dyDescent="0.3">
      <c r="A45" s="63">
        <f>Attendance!A45</f>
        <v>38</v>
      </c>
      <c r="B45" s="189" t="str">
        <f>Attendance!B45</f>
        <v>Sanchez, Neil Jimson Casas</v>
      </c>
      <c r="C45" s="190">
        <v>86</v>
      </c>
      <c r="D45" s="190">
        <v>77</v>
      </c>
      <c r="E45" s="190">
        <f>Final!BB47</f>
        <v>61.15</v>
      </c>
      <c r="F45" s="190">
        <f t="shared" si="0"/>
        <v>74.716666666666669</v>
      </c>
      <c r="G45" s="191" t="str">
        <f t="shared" si="1"/>
        <v>PASSED</v>
      </c>
    </row>
    <row r="46" spans="1:7" x14ac:dyDescent="0.3">
      <c r="A46" s="63">
        <f>Attendance!A46</f>
        <v>39</v>
      </c>
      <c r="B46" s="189" t="str">
        <f>Attendance!B46</f>
        <v>Silagan, Thyron Cabiles</v>
      </c>
      <c r="C46" s="190">
        <f>Prelim!BB48</f>
        <v>96.025000000000006</v>
      </c>
      <c r="D46" s="190">
        <f>Midterm!BB48</f>
        <v>94.250833333333333</v>
      </c>
      <c r="E46" s="190">
        <f>Final!BB48</f>
        <v>88.962500000000006</v>
      </c>
      <c r="F46" s="190">
        <f t="shared" si="0"/>
        <v>93.079444444444448</v>
      </c>
      <c r="G46" s="191" t="str">
        <f t="shared" si="1"/>
        <v>PASSED</v>
      </c>
    </row>
    <row r="47" spans="1:7" x14ac:dyDescent="0.3">
      <c r="A47" s="63">
        <f>Attendance!A47</f>
        <v>40</v>
      </c>
      <c r="B47" s="189" t="str">
        <f>Attendance!B47</f>
        <v>Suerte, Khent Briane Orcasitas</v>
      </c>
      <c r="C47" s="190">
        <f>Prelim!BB49</f>
        <v>75.875</v>
      </c>
      <c r="D47" s="190">
        <f>Midterm!BB49</f>
        <v>84.083333333333343</v>
      </c>
      <c r="E47" s="190">
        <f>Final!BB49</f>
        <v>74.162499999999994</v>
      </c>
      <c r="F47" s="190">
        <f t="shared" si="0"/>
        <v>78.040277777777774</v>
      </c>
      <c r="G47" s="191" t="str">
        <f t="shared" si="1"/>
        <v>PASSED</v>
      </c>
    </row>
    <row r="48" spans="1:7" x14ac:dyDescent="0.3">
      <c r="A48" s="63">
        <f>Attendance!A48</f>
        <v>41</v>
      </c>
      <c r="B48" s="189" t="str">
        <f>Attendance!B48</f>
        <v>Sumugat, Edgaro Jr. Cordevilla</v>
      </c>
      <c r="C48" s="190">
        <f>Prelim!BB50</f>
        <v>78.8125</v>
      </c>
      <c r="D48" s="190">
        <f>Midterm!BB50</f>
        <v>90.56</v>
      </c>
      <c r="E48" s="190">
        <f>Final!BB50</f>
        <v>77.204999999999998</v>
      </c>
      <c r="F48" s="190">
        <f t="shared" si="0"/>
        <v>82.192499999999995</v>
      </c>
      <c r="G48" s="191" t="str">
        <f t="shared" si="1"/>
        <v>PASSED</v>
      </c>
    </row>
    <row r="49" spans="1:7" x14ac:dyDescent="0.3">
      <c r="A49" s="63">
        <f>Attendance!A49</f>
        <v>42</v>
      </c>
      <c r="B49" s="189" t="str">
        <f>Attendance!B49</f>
        <v>Tampus, Cale Janine Bringas</v>
      </c>
      <c r="C49" s="190">
        <f>Prelim!BB51</f>
        <v>89.949999999999989</v>
      </c>
      <c r="D49" s="190">
        <f>Midterm!BB51</f>
        <v>93.06</v>
      </c>
      <c r="E49" s="190">
        <f>Final!BB51</f>
        <v>87.379166666666663</v>
      </c>
      <c r="F49" s="190">
        <f t="shared" si="0"/>
        <v>90.129722222222213</v>
      </c>
      <c r="G49" s="191" t="str">
        <f t="shared" si="1"/>
        <v>PASSED</v>
      </c>
    </row>
    <row r="50" spans="1:7" x14ac:dyDescent="0.3">
      <c r="A50" s="63">
        <f>Attendance!A50</f>
        <v>43</v>
      </c>
      <c r="B50" s="189" t="str">
        <f>Attendance!B50</f>
        <v>Trespeses, Reykarl Pendon</v>
      </c>
      <c r="C50" s="190">
        <f>Prelim!BB52</f>
        <v>63.4375</v>
      </c>
      <c r="D50" s="190">
        <f>Midterm!BB52</f>
        <v>50</v>
      </c>
      <c r="E50" s="190">
        <f>Final!BB52</f>
        <v>50</v>
      </c>
      <c r="F50" s="190">
        <f t="shared" si="0"/>
        <v>54.479166666666664</v>
      </c>
      <c r="G50" s="191" t="str">
        <f t="shared" si="1"/>
        <v>FAILED</v>
      </c>
    </row>
    <row r="51" spans="1:7" x14ac:dyDescent="0.3">
      <c r="A51" s="63">
        <f>Attendance!A51</f>
        <v>44</v>
      </c>
      <c r="B51" s="189" t="str">
        <f>Attendance!B51</f>
        <v>Tuloganon, Raffy Verano</v>
      </c>
      <c r="C51" s="190">
        <f>Prelim!BB53</f>
        <v>91.424999999999997</v>
      </c>
      <c r="D51" s="190">
        <f>Midterm!BB53</f>
        <v>92.89</v>
      </c>
      <c r="E51" s="190">
        <f>Final!BB53</f>
        <v>85.495833333333337</v>
      </c>
      <c r="F51" s="190">
        <f t="shared" si="0"/>
        <v>89.93694444444445</v>
      </c>
      <c r="G51" s="191" t="str">
        <f t="shared" si="1"/>
        <v>PASSED</v>
      </c>
    </row>
    <row r="52" spans="1:7" x14ac:dyDescent="0.3">
      <c r="A52" s="63">
        <f>Attendance!A52</f>
        <v>45</v>
      </c>
      <c r="B52" s="189" t="str">
        <f>Attendance!B52</f>
        <v>Verial, Marlou Cebuco</v>
      </c>
      <c r="C52" s="190">
        <f>Prelim!BB54</f>
        <v>86.174999999999997</v>
      </c>
      <c r="D52" s="190">
        <f>Midterm!BB54</f>
        <v>62.622499999999995</v>
      </c>
      <c r="E52" s="190">
        <f>Final!BB54</f>
        <v>61.15</v>
      </c>
      <c r="F52" s="190">
        <f t="shared" si="0"/>
        <v>69.982500000000002</v>
      </c>
      <c r="G52" s="191" t="str">
        <f t="shared" si="1"/>
        <v>FAILED</v>
      </c>
    </row>
  </sheetData>
  <conditionalFormatting sqref="C8:F52">
    <cfRule type="cellIs" dxfId="2" priority="3" operator="lessThan">
      <formula>74</formula>
    </cfRule>
  </conditionalFormatting>
  <conditionalFormatting sqref="G8:G52">
    <cfRule type="containsText" dxfId="1" priority="1" operator="containsText" text="PASSED">
      <formula>NOT(ISERROR(SEARCH("PASSED",G8)))</formula>
    </cfRule>
    <cfRule type="containsText" dxfId="0" priority="2" operator="containsText" text="FAILED">
      <formula>NOT(ISERROR(SEARCH("FAILED",G8)))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Attendance</vt:lpstr>
      <vt:lpstr>Prelim</vt:lpstr>
      <vt:lpstr>Midterm</vt:lpstr>
      <vt:lpstr>Final</vt:lpstr>
      <vt:lpstr>IS 2 FINAL GRADE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Rina Abelardo</dc:creator>
  <cp:lastModifiedBy>Rina Abelardo</cp:lastModifiedBy>
  <dcterms:created xsi:type="dcterms:W3CDTF">2026-01-14T10:04:26Z</dcterms:created>
  <dcterms:modified xsi:type="dcterms:W3CDTF">2026-05-19T23:54:29Z</dcterms:modified>
</cp:coreProperties>
</file>