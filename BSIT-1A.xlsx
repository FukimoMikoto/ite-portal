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4th SY 2026-2027\1st Semester\Class Record and Grading Sheet\COMP 1\"/>
    </mc:Choice>
  </mc:AlternateContent>
  <xr:revisionPtr revIDLastSave="0" documentId="13_ncr:1_{F3E393FD-30AB-46B1-8103-39181FC7855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ttendance" sheetId="5" r:id="rId1"/>
    <sheet name="Prelim" sheetId="12" r:id="rId2"/>
    <sheet name="Midterm" sheetId="13" r:id="rId3"/>
    <sheet name="Final" sheetId="14" r:id="rId4"/>
    <sheet name="Averag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4" l="1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11" i="13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12" i="4"/>
  <c r="AF49" i="14"/>
  <c r="AE49" i="14"/>
  <c r="AA49" i="14"/>
  <c r="AB49" i="14" s="1"/>
  <c r="AG49" i="14" s="1"/>
  <c r="X49" i="14"/>
  <c r="AI49" i="14" s="1"/>
  <c r="AJ49" i="14" s="1"/>
  <c r="U49" i="14"/>
  <c r="V49" i="14" s="1"/>
  <c r="W49" i="14" s="1"/>
  <c r="O49" i="14"/>
  <c r="N49" i="14"/>
  <c r="M49" i="14"/>
  <c r="B49" i="14"/>
  <c r="AF48" i="14"/>
  <c r="AE48" i="14"/>
  <c r="AA48" i="14"/>
  <c r="AB48" i="14" s="1"/>
  <c r="U48" i="14"/>
  <c r="V48" i="14" s="1"/>
  <c r="W48" i="14" s="1"/>
  <c r="O48" i="14"/>
  <c r="X48" i="14" s="1"/>
  <c r="N48" i="14"/>
  <c r="M48" i="14"/>
  <c r="B48" i="14"/>
  <c r="AF47" i="14"/>
  <c r="AE47" i="14"/>
  <c r="AA47" i="14"/>
  <c r="AB47" i="14" s="1"/>
  <c r="AG47" i="14" s="1"/>
  <c r="X47" i="14"/>
  <c r="AI47" i="14" s="1"/>
  <c r="AJ47" i="14" s="1"/>
  <c r="U47" i="14"/>
  <c r="V47" i="14" s="1"/>
  <c r="W47" i="14" s="1"/>
  <c r="O47" i="14"/>
  <c r="N47" i="14"/>
  <c r="M47" i="14"/>
  <c r="B47" i="14"/>
  <c r="AF46" i="14"/>
  <c r="AE46" i="14"/>
  <c r="AA46" i="14"/>
  <c r="AB46" i="14" s="1"/>
  <c r="U46" i="14"/>
  <c r="V46" i="14" s="1"/>
  <c r="W46" i="14" s="1"/>
  <c r="O46" i="14"/>
  <c r="X46" i="14" s="1"/>
  <c r="N46" i="14"/>
  <c r="M46" i="14"/>
  <c r="B46" i="14"/>
  <c r="AF45" i="14"/>
  <c r="AE45" i="14"/>
  <c r="AA45" i="14"/>
  <c r="AB45" i="14" s="1"/>
  <c r="AG45" i="14" s="1"/>
  <c r="X45" i="14"/>
  <c r="AI45" i="14" s="1"/>
  <c r="AJ45" i="14" s="1"/>
  <c r="U45" i="14"/>
  <c r="V45" i="14" s="1"/>
  <c r="W45" i="14" s="1"/>
  <c r="O45" i="14"/>
  <c r="N45" i="14"/>
  <c r="M45" i="14"/>
  <c r="B45" i="14"/>
  <c r="AF44" i="14"/>
  <c r="AE44" i="14"/>
  <c r="AA44" i="14"/>
  <c r="AB44" i="14" s="1"/>
  <c r="U44" i="14"/>
  <c r="V44" i="14" s="1"/>
  <c r="W44" i="14" s="1"/>
  <c r="O44" i="14"/>
  <c r="X44" i="14" s="1"/>
  <c r="N44" i="14"/>
  <c r="M44" i="14"/>
  <c r="B44" i="14"/>
  <c r="AF43" i="14"/>
  <c r="AE43" i="14"/>
  <c r="AA43" i="14"/>
  <c r="AB43" i="14" s="1"/>
  <c r="AG43" i="14" s="1"/>
  <c r="X43" i="14"/>
  <c r="AI43" i="14" s="1"/>
  <c r="AJ43" i="14" s="1"/>
  <c r="U43" i="14"/>
  <c r="V43" i="14" s="1"/>
  <c r="W43" i="14" s="1"/>
  <c r="O43" i="14"/>
  <c r="N43" i="14"/>
  <c r="M43" i="14"/>
  <c r="B43" i="14"/>
  <c r="AF42" i="14"/>
  <c r="AE42" i="14"/>
  <c r="AA42" i="14"/>
  <c r="AB42" i="14" s="1"/>
  <c r="U42" i="14"/>
  <c r="V42" i="14" s="1"/>
  <c r="W42" i="14" s="1"/>
  <c r="O42" i="14"/>
  <c r="X42" i="14" s="1"/>
  <c r="N42" i="14"/>
  <c r="M42" i="14"/>
  <c r="B42" i="14"/>
  <c r="AF41" i="14"/>
  <c r="AE41" i="14"/>
  <c r="AA41" i="14"/>
  <c r="AB41" i="14" s="1"/>
  <c r="AG41" i="14" s="1"/>
  <c r="X41" i="14"/>
  <c r="AI41" i="14" s="1"/>
  <c r="AJ41" i="14" s="1"/>
  <c r="U41" i="14"/>
  <c r="V41" i="14" s="1"/>
  <c r="W41" i="14" s="1"/>
  <c r="O41" i="14"/>
  <c r="N41" i="14"/>
  <c r="M41" i="14"/>
  <c r="B41" i="14"/>
  <c r="AF40" i="14"/>
  <c r="AE40" i="14"/>
  <c r="AA40" i="14"/>
  <c r="AB40" i="14" s="1"/>
  <c r="U40" i="14"/>
  <c r="V40" i="14" s="1"/>
  <c r="W40" i="14" s="1"/>
  <c r="O40" i="14"/>
  <c r="X40" i="14" s="1"/>
  <c r="N40" i="14"/>
  <c r="M40" i="14"/>
  <c r="B40" i="14"/>
  <c r="AF39" i="14"/>
  <c r="AE39" i="14"/>
  <c r="AA39" i="14"/>
  <c r="AB39" i="14" s="1"/>
  <c r="AG39" i="14" s="1"/>
  <c r="X39" i="14"/>
  <c r="AI39" i="14" s="1"/>
  <c r="AJ39" i="14" s="1"/>
  <c r="U39" i="14"/>
  <c r="V39" i="14" s="1"/>
  <c r="W39" i="14" s="1"/>
  <c r="O39" i="14"/>
  <c r="N39" i="14"/>
  <c r="M39" i="14"/>
  <c r="B39" i="14"/>
  <c r="AF38" i="14"/>
  <c r="AE38" i="14"/>
  <c r="AA38" i="14"/>
  <c r="AB38" i="14" s="1"/>
  <c r="U38" i="14"/>
  <c r="V38" i="14" s="1"/>
  <c r="W38" i="14" s="1"/>
  <c r="O38" i="14"/>
  <c r="X38" i="14" s="1"/>
  <c r="N38" i="14"/>
  <c r="M38" i="14"/>
  <c r="B38" i="14"/>
  <c r="AF37" i="14"/>
  <c r="AE37" i="14"/>
  <c r="AA37" i="14"/>
  <c r="AB37" i="14" s="1"/>
  <c r="AG37" i="14" s="1"/>
  <c r="X37" i="14"/>
  <c r="AI37" i="14" s="1"/>
  <c r="AJ37" i="14" s="1"/>
  <c r="U37" i="14"/>
  <c r="V37" i="14" s="1"/>
  <c r="W37" i="14" s="1"/>
  <c r="O37" i="14"/>
  <c r="N37" i="14"/>
  <c r="M37" i="14"/>
  <c r="B37" i="14"/>
  <c r="AF36" i="14"/>
  <c r="AE36" i="14"/>
  <c r="AA36" i="14"/>
  <c r="AB36" i="14" s="1"/>
  <c r="U36" i="14"/>
  <c r="V36" i="14" s="1"/>
  <c r="W36" i="14" s="1"/>
  <c r="O36" i="14"/>
  <c r="X36" i="14" s="1"/>
  <c r="N36" i="14"/>
  <c r="M36" i="14"/>
  <c r="B36" i="14"/>
  <c r="AF35" i="14"/>
  <c r="AE35" i="14"/>
  <c r="AA35" i="14"/>
  <c r="AB35" i="14" s="1"/>
  <c r="AG35" i="14" s="1"/>
  <c r="X35" i="14"/>
  <c r="AI35" i="14" s="1"/>
  <c r="AJ35" i="14" s="1"/>
  <c r="U35" i="14"/>
  <c r="V35" i="14" s="1"/>
  <c r="W35" i="14" s="1"/>
  <c r="O35" i="14"/>
  <c r="N35" i="14"/>
  <c r="M35" i="14"/>
  <c r="B35" i="14"/>
  <c r="AF34" i="14"/>
  <c r="AE34" i="14"/>
  <c r="AA34" i="14"/>
  <c r="AB34" i="14" s="1"/>
  <c r="U34" i="14"/>
  <c r="V34" i="14" s="1"/>
  <c r="W34" i="14" s="1"/>
  <c r="O34" i="14"/>
  <c r="X34" i="14" s="1"/>
  <c r="N34" i="14"/>
  <c r="M34" i="14"/>
  <c r="B34" i="14"/>
  <c r="AF33" i="14"/>
  <c r="AE33" i="14"/>
  <c r="AA33" i="14"/>
  <c r="AB33" i="14" s="1"/>
  <c r="AG33" i="14" s="1"/>
  <c r="X33" i="14"/>
  <c r="AI33" i="14" s="1"/>
  <c r="AJ33" i="14" s="1"/>
  <c r="U33" i="14"/>
  <c r="V33" i="14" s="1"/>
  <c r="W33" i="14" s="1"/>
  <c r="O33" i="14"/>
  <c r="N33" i="14"/>
  <c r="M33" i="14"/>
  <c r="B33" i="14"/>
  <c r="AF32" i="14"/>
  <c r="AE32" i="14"/>
  <c r="AA32" i="14"/>
  <c r="AB32" i="14" s="1"/>
  <c r="U32" i="14"/>
  <c r="V32" i="14" s="1"/>
  <c r="W32" i="14" s="1"/>
  <c r="O32" i="14"/>
  <c r="X32" i="14" s="1"/>
  <c r="N32" i="14"/>
  <c r="M32" i="14"/>
  <c r="B32" i="14"/>
  <c r="AF31" i="14"/>
  <c r="AE31" i="14"/>
  <c r="AA31" i="14"/>
  <c r="AB31" i="14" s="1"/>
  <c r="AG31" i="14" s="1"/>
  <c r="X31" i="14"/>
  <c r="AI31" i="14" s="1"/>
  <c r="AJ31" i="14" s="1"/>
  <c r="U31" i="14"/>
  <c r="V31" i="14" s="1"/>
  <c r="W31" i="14" s="1"/>
  <c r="O31" i="14"/>
  <c r="N31" i="14"/>
  <c r="M31" i="14"/>
  <c r="B31" i="14"/>
  <c r="AF30" i="14"/>
  <c r="AE30" i="14"/>
  <c r="AA30" i="14"/>
  <c r="AB30" i="14" s="1"/>
  <c r="U30" i="14"/>
  <c r="V30" i="14" s="1"/>
  <c r="W30" i="14" s="1"/>
  <c r="O30" i="14"/>
  <c r="X30" i="14" s="1"/>
  <c r="N30" i="14"/>
  <c r="M30" i="14"/>
  <c r="B30" i="14"/>
  <c r="AE29" i="14"/>
  <c r="AF29" i="14" s="1"/>
  <c r="AA29" i="14"/>
  <c r="AB29" i="14" s="1"/>
  <c r="U29" i="14"/>
  <c r="V29" i="14" s="1"/>
  <c r="W29" i="14" s="1"/>
  <c r="O29" i="14"/>
  <c r="X29" i="14" s="1"/>
  <c r="N29" i="14"/>
  <c r="M29" i="14"/>
  <c r="B29" i="14"/>
  <c r="AE28" i="14"/>
  <c r="AF28" i="14" s="1"/>
  <c r="AA28" i="14"/>
  <c r="AB28" i="14" s="1"/>
  <c r="AG28" i="14" s="1"/>
  <c r="U28" i="14"/>
  <c r="V28" i="14" s="1"/>
  <c r="W28" i="14" s="1"/>
  <c r="O28" i="14"/>
  <c r="X28" i="14" s="1"/>
  <c r="N28" i="14"/>
  <c r="M28" i="14"/>
  <c r="B28" i="14"/>
  <c r="AF27" i="14"/>
  <c r="AG27" i="14" s="1"/>
  <c r="AE27" i="14"/>
  <c r="AA27" i="14"/>
  <c r="AB27" i="14" s="1"/>
  <c r="W27" i="14"/>
  <c r="U27" i="14"/>
  <c r="V27" i="14" s="1"/>
  <c r="N27" i="14"/>
  <c r="O27" i="14" s="1"/>
  <c r="X27" i="14" s="1"/>
  <c r="AI27" i="14" s="1"/>
  <c r="AJ27" i="14" s="1"/>
  <c r="M27" i="14"/>
  <c r="B27" i="14"/>
  <c r="AG26" i="14"/>
  <c r="AF26" i="14"/>
  <c r="AE26" i="14"/>
  <c r="AA26" i="14"/>
  <c r="AB26" i="14" s="1"/>
  <c r="W26" i="14"/>
  <c r="U26" i="14"/>
  <c r="V26" i="14" s="1"/>
  <c r="N26" i="14"/>
  <c r="O26" i="14" s="1"/>
  <c r="X26" i="14" s="1"/>
  <c r="AI26" i="14" s="1"/>
  <c r="AJ26" i="14" s="1"/>
  <c r="M26" i="14"/>
  <c r="B26" i="14"/>
  <c r="AE25" i="14"/>
  <c r="AF25" i="14" s="1"/>
  <c r="AA25" i="14"/>
  <c r="AB25" i="14" s="1"/>
  <c r="U25" i="14"/>
  <c r="V25" i="14" s="1"/>
  <c r="W25" i="14" s="1"/>
  <c r="O25" i="14"/>
  <c r="N25" i="14"/>
  <c r="M25" i="14"/>
  <c r="B25" i="14"/>
  <c r="AE24" i="14"/>
  <c r="AF24" i="14" s="1"/>
  <c r="AA24" i="14"/>
  <c r="AB24" i="14" s="1"/>
  <c r="U24" i="14"/>
  <c r="V24" i="14" s="1"/>
  <c r="W24" i="14" s="1"/>
  <c r="O24" i="14"/>
  <c r="N24" i="14"/>
  <c r="M24" i="14"/>
  <c r="B24" i="14"/>
  <c r="AF23" i="14"/>
  <c r="AG23" i="14" s="1"/>
  <c r="AE23" i="14"/>
  <c r="AA23" i="14"/>
  <c r="AB23" i="14" s="1"/>
  <c r="W23" i="14"/>
  <c r="U23" i="14"/>
  <c r="V23" i="14" s="1"/>
  <c r="N23" i="14"/>
  <c r="O23" i="14" s="1"/>
  <c r="X23" i="14" s="1"/>
  <c r="M23" i="14"/>
  <c r="B23" i="14"/>
  <c r="AG22" i="14"/>
  <c r="AF22" i="14"/>
  <c r="AE22" i="14"/>
  <c r="AA22" i="14"/>
  <c r="AB22" i="14" s="1"/>
  <c r="W22" i="14"/>
  <c r="U22" i="14"/>
  <c r="V22" i="14" s="1"/>
  <c r="N22" i="14"/>
  <c r="O22" i="14" s="1"/>
  <c r="X22" i="14" s="1"/>
  <c r="AI22" i="14" s="1"/>
  <c r="AJ22" i="14" s="1"/>
  <c r="M22" i="14"/>
  <c r="B22" i="14"/>
  <c r="AE21" i="14"/>
  <c r="AF21" i="14" s="1"/>
  <c r="AB21" i="14"/>
  <c r="AG21" i="14" s="1"/>
  <c r="AA21" i="14"/>
  <c r="V21" i="14"/>
  <c r="W21" i="14" s="1"/>
  <c r="U21" i="14"/>
  <c r="M21" i="14"/>
  <c r="N21" i="14" s="1"/>
  <c r="O21" i="14" s="1"/>
  <c r="B21" i="14"/>
  <c r="AE20" i="14"/>
  <c r="AF20" i="14" s="1"/>
  <c r="AB20" i="14"/>
  <c r="AG20" i="14" s="1"/>
  <c r="AA20" i="14"/>
  <c r="V20" i="14"/>
  <c r="W20" i="14" s="1"/>
  <c r="U20" i="14"/>
  <c r="M20" i="14"/>
  <c r="N20" i="14" s="1"/>
  <c r="O20" i="14" s="1"/>
  <c r="B20" i="14"/>
  <c r="AE19" i="14"/>
  <c r="AF19" i="14" s="1"/>
  <c r="AB19" i="14"/>
  <c r="AG19" i="14" s="1"/>
  <c r="AA19" i="14"/>
  <c r="V19" i="14"/>
  <c r="W19" i="14" s="1"/>
  <c r="U19" i="14"/>
  <c r="M19" i="14"/>
  <c r="N19" i="14" s="1"/>
  <c r="O19" i="14" s="1"/>
  <c r="B19" i="14"/>
  <c r="AE18" i="14"/>
  <c r="AF18" i="14" s="1"/>
  <c r="AB18" i="14"/>
  <c r="AG18" i="14" s="1"/>
  <c r="AA18" i="14"/>
  <c r="V18" i="14"/>
  <c r="W18" i="14" s="1"/>
  <c r="U18" i="14"/>
  <c r="M18" i="14"/>
  <c r="N18" i="14" s="1"/>
  <c r="O18" i="14" s="1"/>
  <c r="B18" i="14"/>
  <c r="AE17" i="14"/>
  <c r="AF17" i="14" s="1"/>
  <c r="AB17" i="14"/>
  <c r="AG17" i="14" s="1"/>
  <c r="AA17" i="14"/>
  <c r="V17" i="14"/>
  <c r="W17" i="14" s="1"/>
  <c r="U17" i="14"/>
  <c r="M17" i="14"/>
  <c r="N17" i="14" s="1"/>
  <c r="O17" i="14" s="1"/>
  <c r="B17" i="14"/>
  <c r="AE16" i="14"/>
  <c r="AF16" i="14" s="1"/>
  <c r="AB16" i="14"/>
  <c r="AG16" i="14" s="1"/>
  <c r="AA16" i="14"/>
  <c r="V16" i="14"/>
  <c r="W16" i="14" s="1"/>
  <c r="U16" i="14"/>
  <c r="M16" i="14"/>
  <c r="N16" i="14" s="1"/>
  <c r="O16" i="14" s="1"/>
  <c r="B16" i="14"/>
  <c r="AE15" i="14"/>
  <c r="AF15" i="14" s="1"/>
  <c r="AB15" i="14"/>
  <c r="AG15" i="14" s="1"/>
  <c r="AA15" i="14"/>
  <c r="V15" i="14"/>
  <c r="W15" i="14" s="1"/>
  <c r="U15" i="14"/>
  <c r="M15" i="14"/>
  <c r="N15" i="14" s="1"/>
  <c r="O15" i="14" s="1"/>
  <c r="B15" i="14"/>
  <c r="AE14" i="14"/>
  <c r="AF14" i="14" s="1"/>
  <c r="AB14" i="14"/>
  <c r="AG14" i="14" s="1"/>
  <c r="AA14" i="14"/>
  <c r="V14" i="14"/>
  <c r="W14" i="14" s="1"/>
  <c r="U14" i="14"/>
  <c r="M14" i="14"/>
  <c r="N14" i="14" s="1"/>
  <c r="O14" i="14" s="1"/>
  <c r="B14" i="14"/>
  <c r="AE13" i="14"/>
  <c r="AF13" i="14" s="1"/>
  <c r="AB13" i="14"/>
  <c r="AG13" i="14" s="1"/>
  <c r="AA13" i="14"/>
  <c r="V13" i="14"/>
  <c r="W13" i="14" s="1"/>
  <c r="U13" i="14"/>
  <c r="M13" i="14"/>
  <c r="N13" i="14" s="1"/>
  <c r="O13" i="14" s="1"/>
  <c r="B13" i="14"/>
  <c r="AE12" i="14"/>
  <c r="AF12" i="14" s="1"/>
  <c r="AB12" i="14"/>
  <c r="AG12" i="14" s="1"/>
  <c r="AA12" i="14"/>
  <c r="V12" i="14"/>
  <c r="W12" i="14" s="1"/>
  <c r="U12" i="14"/>
  <c r="M12" i="14"/>
  <c r="N12" i="14" s="1"/>
  <c r="O12" i="14" s="1"/>
  <c r="B12" i="14"/>
  <c r="AE11" i="14"/>
  <c r="AF11" i="14" s="1"/>
  <c r="AB11" i="14"/>
  <c r="AG11" i="14" s="1"/>
  <c r="AA11" i="14"/>
  <c r="V11" i="14"/>
  <c r="W11" i="14" s="1"/>
  <c r="U11" i="14"/>
  <c r="M11" i="14"/>
  <c r="N11" i="14" s="1"/>
  <c r="O11" i="14" s="1"/>
  <c r="B11" i="14"/>
  <c r="AE10" i="14"/>
  <c r="AF10" i="14" s="1"/>
  <c r="AB10" i="14"/>
  <c r="AG10" i="14" s="1"/>
  <c r="AA10" i="14"/>
  <c r="V10" i="14"/>
  <c r="W10" i="14" s="1"/>
  <c r="U10" i="14"/>
  <c r="M10" i="14"/>
  <c r="N10" i="14" s="1"/>
  <c r="O10" i="14" s="1"/>
  <c r="B5" i="14"/>
  <c r="B4" i="14"/>
  <c r="B3" i="14"/>
  <c r="B2" i="14"/>
  <c r="B1" i="14"/>
  <c r="AF49" i="13"/>
  <c r="AE49" i="13"/>
  <c r="AA49" i="13"/>
  <c r="AB49" i="13" s="1"/>
  <c r="AG49" i="13" s="1"/>
  <c r="X49" i="13"/>
  <c r="AI49" i="13" s="1"/>
  <c r="AJ49" i="13" s="1"/>
  <c r="U49" i="13"/>
  <c r="V49" i="13" s="1"/>
  <c r="W49" i="13" s="1"/>
  <c r="O49" i="13"/>
  <c r="N49" i="13"/>
  <c r="M49" i="13"/>
  <c r="B49" i="13"/>
  <c r="AF48" i="13"/>
  <c r="AE48" i="13"/>
  <c r="AA48" i="13"/>
  <c r="AB48" i="13" s="1"/>
  <c r="U48" i="13"/>
  <c r="V48" i="13" s="1"/>
  <c r="W48" i="13" s="1"/>
  <c r="O48" i="13"/>
  <c r="X48" i="13" s="1"/>
  <c r="N48" i="13"/>
  <c r="M48" i="13"/>
  <c r="B48" i="13"/>
  <c r="AF47" i="13"/>
  <c r="AE47" i="13"/>
  <c r="AA47" i="13"/>
  <c r="AB47" i="13" s="1"/>
  <c r="AG47" i="13" s="1"/>
  <c r="X47" i="13"/>
  <c r="AI47" i="13" s="1"/>
  <c r="AJ47" i="13" s="1"/>
  <c r="U47" i="13"/>
  <c r="V47" i="13" s="1"/>
  <c r="W47" i="13" s="1"/>
  <c r="O47" i="13"/>
  <c r="N47" i="13"/>
  <c r="M47" i="13"/>
  <c r="B47" i="13"/>
  <c r="AF46" i="13"/>
  <c r="AE46" i="13"/>
  <c r="AA46" i="13"/>
  <c r="AB46" i="13" s="1"/>
  <c r="AG46" i="13" s="1"/>
  <c r="U46" i="13"/>
  <c r="V46" i="13" s="1"/>
  <c r="W46" i="13" s="1"/>
  <c r="O46" i="13"/>
  <c r="X46" i="13" s="1"/>
  <c r="AI46" i="13" s="1"/>
  <c r="AJ46" i="13" s="1"/>
  <c r="N46" i="13"/>
  <c r="M46" i="13"/>
  <c r="B46" i="13"/>
  <c r="AF45" i="13"/>
  <c r="AE45" i="13"/>
  <c r="AA45" i="13"/>
  <c r="AB45" i="13" s="1"/>
  <c r="AG45" i="13" s="1"/>
  <c r="X45" i="13"/>
  <c r="AI45" i="13" s="1"/>
  <c r="AJ45" i="13" s="1"/>
  <c r="U45" i="13"/>
  <c r="V45" i="13" s="1"/>
  <c r="W45" i="13" s="1"/>
  <c r="O45" i="13"/>
  <c r="N45" i="13"/>
  <c r="M45" i="13"/>
  <c r="B45" i="13"/>
  <c r="AF44" i="13"/>
  <c r="AE44" i="13"/>
  <c r="AA44" i="13"/>
  <c r="AB44" i="13" s="1"/>
  <c r="U44" i="13"/>
  <c r="V44" i="13" s="1"/>
  <c r="W44" i="13" s="1"/>
  <c r="O44" i="13"/>
  <c r="X44" i="13" s="1"/>
  <c r="N44" i="13"/>
  <c r="M44" i="13"/>
  <c r="B44" i="13"/>
  <c r="AF43" i="13"/>
  <c r="AE43" i="13"/>
  <c r="AA43" i="13"/>
  <c r="AB43" i="13" s="1"/>
  <c r="AG43" i="13" s="1"/>
  <c r="X43" i="13"/>
  <c r="AI43" i="13" s="1"/>
  <c r="AJ43" i="13" s="1"/>
  <c r="U43" i="13"/>
  <c r="V43" i="13" s="1"/>
  <c r="W43" i="13" s="1"/>
  <c r="O43" i="13"/>
  <c r="N43" i="13"/>
  <c r="M43" i="13"/>
  <c r="B43" i="13"/>
  <c r="AF42" i="13"/>
  <c r="AE42" i="13"/>
  <c r="AA42" i="13"/>
  <c r="AB42" i="13" s="1"/>
  <c r="U42" i="13"/>
  <c r="V42" i="13" s="1"/>
  <c r="W42" i="13" s="1"/>
  <c r="O42" i="13"/>
  <c r="X42" i="13" s="1"/>
  <c r="N42" i="13"/>
  <c r="M42" i="13"/>
  <c r="B42" i="13"/>
  <c r="AF41" i="13"/>
  <c r="AE41" i="13"/>
  <c r="AA41" i="13"/>
  <c r="AB41" i="13" s="1"/>
  <c r="AG41" i="13" s="1"/>
  <c r="X41" i="13"/>
  <c r="AI41" i="13" s="1"/>
  <c r="AJ41" i="13" s="1"/>
  <c r="U41" i="13"/>
  <c r="V41" i="13" s="1"/>
  <c r="W41" i="13" s="1"/>
  <c r="O41" i="13"/>
  <c r="N41" i="13"/>
  <c r="M41" i="13"/>
  <c r="B41" i="13"/>
  <c r="AF40" i="13"/>
  <c r="AE40" i="13"/>
  <c r="AA40" i="13"/>
  <c r="AB40" i="13" s="1"/>
  <c r="U40" i="13"/>
  <c r="V40" i="13" s="1"/>
  <c r="W40" i="13" s="1"/>
  <c r="O40" i="13"/>
  <c r="X40" i="13" s="1"/>
  <c r="N40" i="13"/>
  <c r="M40" i="13"/>
  <c r="B40" i="13"/>
  <c r="AF39" i="13"/>
  <c r="AE39" i="13"/>
  <c r="AA39" i="13"/>
  <c r="AB39" i="13" s="1"/>
  <c r="AG39" i="13" s="1"/>
  <c r="X39" i="13"/>
  <c r="AI39" i="13" s="1"/>
  <c r="AJ39" i="13" s="1"/>
  <c r="U39" i="13"/>
  <c r="V39" i="13" s="1"/>
  <c r="W39" i="13" s="1"/>
  <c r="O39" i="13"/>
  <c r="N39" i="13"/>
  <c r="M39" i="13"/>
  <c r="B39" i="13"/>
  <c r="AF38" i="13"/>
  <c r="AE38" i="13"/>
  <c r="AA38" i="13"/>
  <c r="AB38" i="13" s="1"/>
  <c r="U38" i="13"/>
  <c r="V38" i="13" s="1"/>
  <c r="W38" i="13" s="1"/>
  <c r="O38" i="13"/>
  <c r="X38" i="13" s="1"/>
  <c r="N38" i="13"/>
  <c r="M38" i="13"/>
  <c r="B38" i="13"/>
  <c r="AF37" i="13"/>
  <c r="AE37" i="13"/>
  <c r="AA37" i="13"/>
  <c r="AB37" i="13" s="1"/>
  <c r="AG37" i="13" s="1"/>
  <c r="X37" i="13"/>
  <c r="AI37" i="13" s="1"/>
  <c r="AJ37" i="13" s="1"/>
  <c r="U37" i="13"/>
  <c r="V37" i="13" s="1"/>
  <c r="W37" i="13" s="1"/>
  <c r="O37" i="13"/>
  <c r="N37" i="13"/>
  <c r="M37" i="13"/>
  <c r="B37" i="13"/>
  <c r="AF36" i="13"/>
  <c r="AE36" i="13"/>
  <c r="AA36" i="13"/>
  <c r="AB36" i="13" s="1"/>
  <c r="U36" i="13"/>
  <c r="V36" i="13" s="1"/>
  <c r="W36" i="13" s="1"/>
  <c r="O36" i="13"/>
  <c r="X36" i="13" s="1"/>
  <c r="N36" i="13"/>
  <c r="M36" i="13"/>
  <c r="B36" i="13"/>
  <c r="AF35" i="13"/>
  <c r="AE35" i="13"/>
  <c r="AA35" i="13"/>
  <c r="AB35" i="13" s="1"/>
  <c r="AG35" i="13" s="1"/>
  <c r="X35" i="13"/>
  <c r="AI35" i="13" s="1"/>
  <c r="AJ35" i="13" s="1"/>
  <c r="U35" i="13"/>
  <c r="V35" i="13" s="1"/>
  <c r="W35" i="13" s="1"/>
  <c r="O35" i="13"/>
  <c r="N35" i="13"/>
  <c r="M35" i="13"/>
  <c r="B35" i="13"/>
  <c r="AF34" i="13"/>
  <c r="AE34" i="13"/>
  <c r="AA34" i="13"/>
  <c r="AB34" i="13" s="1"/>
  <c r="U34" i="13"/>
  <c r="V34" i="13" s="1"/>
  <c r="W34" i="13" s="1"/>
  <c r="O34" i="13"/>
  <c r="X34" i="13" s="1"/>
  <c r="N34" i="13"/>
  <c r="M34" i="13"/>
  <c r="B34" i="13"/>
  <c r="AF33" i="13"/>
  <c r="AE33" i="13"/>
  <c r="AA33" i="13"/>
  <c r="AB33" i="13" s="1"/>
  <c r="AG33" i="13" s="1"/>
  <c r="X33" i="13"/>
  <c r="AI33" i="13" s="1"/>
  <c r="AJ33" i="13" s="1"/>
  <c r="U33" i="13"/>
  <c r="V33" i="13" s="1"/>
  <c r="W33" i="13" s="1"/>
  <c r="O33" i="13"/>
  <c r="N33" i="13"/>
  <c r="M33" i="13"/>
  <c r="B33" i="13"/>
  <c r="AF32" i="13"/>
  <c r="AE32" i="13"/>
  <c r="AA32" i="13"/>
  <c r="AB32" i="13" s="1"/>
  <c r="U32" i="13"/>
  <c r="V32" i="13" s="1"/>
  <c r="W32" i="13" s="1"/>
  <c r="O32" i="13"/>
  <c r="X32" i="13" s="1"/>
  <c r="N32" i="13"/>
  <c r="M32" i="13"/>
  <c r="B32" i="13"/>
  <c r="AF31" i="13"/>
  <c r="AE31" i="13"/>
  <c r="AA31" i="13"/>
  <c r="AB31" i="13" s="1"/>
  <c r="AG31" i="13" s="1"/>
  <c r="X31" i="13"/>
  <c r="AI31" i="13" s="1"/>
  <c r="AJ31" i="13" s="1"/>
  <c r="U31" i="13"/>
  <c r="V31" i="13" s="1"/>
  <c r="W31" i="13" s="1"/>
  <c r="O31" i="13"/>
  <c r="N31" i="13"/>
  <c r="M31" i="13"/>
  <c r="B31" i="13"/>
  <c r="AF30" i="13"/>
  <c r="AE30" i="13"/>
  <c r="AA30" i="13"/>
  <c r="AB30" i="13" s="1"/>
  <c r="U30" i="13"/>
  <c r="V30" i="13" s="1"/>
  <c r="W30" i="13" s="1"/>
  <c r="O30" i="13"/>
  <c r="X30" i="13" s="1"/>
  <c r="N30" i="13"/>
  <c r="M30" i="13"/>
  <c r="B30" i="13"/>
  <c r="AF29" i="13"/>
  <c r="AE29" i="13"/>
  <c r="AA29" i="13"/>
  <c r="AB29" i="13" s="1"/>
  <c r="AG29" i="13" s="1"/>
  <c r="X29" i="13"/>
  <c r="AI29" i="13" s="1"/>
  <c r="AJ29" i="13" s="1"/>
  <c r="U29" i="13"/>
  <c r="V29" i="13" s="1"/>
  <c r="W29" i="13" s="1"/>
  <c r="O29" i="13"/>
  <c r="N29" i="13"/>
  <c r="M29" i="13"/>
  <c r="B29" i="13"/>
  <c r="AG28" i="13"/>
  <c r="AF28" i="13"/>
  <c r="AE28" i="13"/>
  <c r="AA28" i="13"/>
  <c r="AB28" i="13" s="1"/>
  <c r="W28" i="13"/>
  <c r="U28" i="13"/>
  <c r="V28" i="13" s="1"/>
  <c r="N28" i="13"/>
  <c r="O28" i="13" s="1"/>
  <c r="X28" i="13" s="1"/>
  <c r="AI28" i="13" s="1"/>
  <c r="AJ28" i="13" s="1"/>
  <c r="M28" i="13"/>
  <c r="B28" i="13"/>
  <c r="AE27" i="13"/>
  <c r="AF27" i="13" s="1"/>
  <c r="AA27" i="13"/>
  <c r="AB27" i="13" s="1"/>
  <c r="AG27" i="13" s="1"/>
  <c r="U27" i="13"/>
  <c r="V27" i="13" s="1"/>
  <c r="W27" i="13" s="1"/>
  <c r="O27" i="13"/>
  <c r="X27" i="13" s="1"/>
  <c r="N27" i="13"/>
  <c r="M27" i="13"/>
  <c r="B27" i="13"/>
  <c r="AE26" i="13"/>
  <c r="AF26" i="13" s="1"/>
  <c r="AA26" i="13"/>
  <c r="AB26" i="13" s="1"/>
  <c r="AG26" i="13" s="1"/>
  <c r="U26" i="13"/>
  <c r="V26" i="13" s="1"/>
  <c r="W26" i="13" s="1"/>
  <c r="O26" i="13"/>
  <c r="X26" i="13" s="1"/>
  <c r="N26" i="13"/>
  <c r="M26" i="13"/>
  <c r="B26" i="13"/>
  <c r="AF25" i="13"/>
  <c r="AG25" i="13" s="1"/>
  <c r="AE25" i="13"/>
  <c r="AA25" i="13"/>
  <c r="AB25" i="13" s="1"/>
  <c r="W25" i="13"/>
  <c r="U25" i="13"/>
  <c r="V25" i="13" s="1"/>
  <c r="N25" i="13"/>
  <c r="O25" i="13" s="1"/>
  <c r="X25" i="13" s="1"/>
  <c r="AI25" i="13" s="1"/>
  <c r="AJ25" i="13" s="1"/>
  <c r="M25" i="13"/>
  <c r="B25" i="13"/>
  <c r="AG24" i="13"/>
  <c r="AF24" i="13"/>
  <c r="AE24" i="13"/>
  <c r="AA24" i="13"/>
  <c r="AB24" i="13" s="1"/>
  <c r="W24" i="13"/>
  <c r="U24" i="13"/>
  <c r="V24" i="13" s="1"/>
  <c r="N24" i="13"/>
  <c r="O24" i="13" s="1"/>
  <c r="X24" i="13" s="1"/>
  <c r="AI24" i="13" s="1"/>
  <c r="AJ24" i="13" s="1"/>
  <c r="M24" i="13"/>
  <c r="B24" i="13"/>
  <c r="AE23" i="13"/>
  <c r="AF23" i="13" s="1"/>
  <c r="AA23" i="13"/>
  <c r="AB23" i="13" s="1"/>
  <c r="U23" i="13"/>
  <c r="V23" i="13" s="1"/>
  <c r="W23" i="13" s="1"/>
  <c r="O23" i="13"/>
  <c r="N23" i="13"/>
  <c r="M23" i="13"/>
  <c r="B23" i="13"/>
  <c r="AE22" i="13"/>
  <c r="AF22" i="13" s="1"/>
  <c r="AA22" i="13"/>
  <c r="AB22" i="13" s="1"/>
  <c r="U22" i="13"/>
  <c r="V22" i="13" s="1"/>
  <c r="W22" i="13" s="1"/>
  <c r="O22" i="13"/>
  <c r="N22" i="13"/>
  <c r="M22" i="13"/>
  <c r="B22" i="13"/>
  <c r="AF21" i="13"/>
  <c r="AE21" i="13"/>
  <c r="AA21" i="13"/>
  <c r="AB21" i="13" s="1"/>
  <c r="AG21" i="13" s="1"/>
  <c r="U21" i="13"/>
  <c r="V21" i="13" s="1"/>
  <c r="W21" i="13" s="1"/>
  <c r="O21" i="13"/>
  <c r="X21" i="13" s="1"/>
  <c r="N21" i="13"/>
  <c r="M21" i="13"/>
  <c r="B21" i="13"/>
  <c r="AF20" i="13"/>
  <c r="AE20" i="13"/>
  <c r="AA20" i="13"/>
  <c r="AB20" i="13" s="1"/>
  <c r="AG20" i="13" s="1"/>
  <c r="U20" i="13"/>
  <c r="V20" i="13" s="1"/>
  <c r="W20" i="13" s="1"/>
  <c r="O20" i="13"/>
  <c r="N20" i="13"/>
  <c r="M20" i="13"/>
  <c r="B20" i="13"/>
  <c r="AF19" i="13"/>
  <c r="AE19" i="13"/>
  <c r="AA19" i="13"/>
  <c r="AB19" i="13" s="1"/>
  <c r="AG19" i="13" s="1"/>
  <c r="U19" i="13"/>
  <c r="V19" i="13" s="1"/>
  <c r="W19" i="13" s="1"/>
  <c r="O19" i="13"/>
  <c r="X19" i="13" s="1"/>
  <c r="AI19" i="13" s="1"/>
  <c r="AJ19" i="13" s="1"/>
  <c r="N19" i="13"/>
  <c r="M19" i="13"/>
  <c r="B19" i="13"/>
  <c r="AF18" i="13"/>
  <c r="AE18" i="13"/>
  <c r="AA18" i="13"/>
  <c r="AB18" i="13" s="1"/>
  <c r="AG18" i="13" s="1"/>
  <c r="U18" i="13"/>
  <c r="V18" i="13" s="1"/>
  <c r="W18" i="13" s="1"/>
  <c r="O18" i="13"/>
  <c r="N18" i="13"/>
  <c r="M18" i="13"/>
  <c r="B18" i="13"/>
  <c r="AF17" i="13"/>
  <c r="AE17" i="13"/>
  <c r="AA17" i="13"/>
  <c r="AB17" i="13" s="1"/>
  <c r="AG17" i="13" s="1"/>
  <c r="U17" i="13"/>
  <c r="V17" i="13" s="1"/>
  <c r="W17" i="13" s="1"/>
  <c r="O17" i="13"/>
  <c r="X17" i="13" s="1"/>
  <c r="N17" i="13"/>
  <c r="M17" i="13"/>
  <c r="B17" i="13"/>
  <c r="AF16" i="13"/>
  <c r="AE16" i="13"/>
  <c r="AA16" i="13"/>
  <c r="AB16" i="13" s="1"/>
  <c r="AG16" i="13" s="1"/>
  <c r="U16" i="13"/>
  <c r="V16" i="13" s="1"/>
  <c r="W16" i="13" s="1"/>
  <c r="O16" i="13"/>
  <c r="N16" i="13"/>
  <c r="M16" i="13"/>
  <c r="B16" i="13"/>
  <c r="AF15" i="13"/>
  <c r="AE15" i="13"/>
  <c r="AA15" i="13"/>
  <c r="AB15" i="13" s="1"/>
  <c r="AG15" i="13" s="1"/>
  <c r="U15" i="13"/>
  <c r="V15" i="13" s="1"/>
  <c r="W15" i="13" s="1"/>
  <c r="O15" i="13"/>
  <c r="X15" i="13" s="1"/>
  <c r="AI15" i="13" s="1"/>
  <c r="AJ15" i="13" s="1"/>
  <c r="N15" i="13"/>
  <c r="M15" i="13"/>
  <c r="B15" i="13"/>
  <c r="AF14" i="13"/>
  <c r="AE14" i="13"/>
  <c r="AA14" i="13"/>
  <c r="AB14" i="13" s="1"/>
  <c r="AG14" i="13" s="1"/>
  <c r="U14" i="13"/>
  <c r="V14" i="13" s="1"/>
  <c r="W14" i="13" s="1"/>
  <c r="O14" i="13"/>
  <c r="N14" i="13"/>
  <c r="M14" i="13"/>
  <c r="B14" i="13"/>
  <c r="AF13" i="13"/>
  <c r="AE13" i="13"/>
  <c r="AA13" i="13"/>
  <c r="AB13" i="13" s="1"/>
  <c r="AG13" i="13" s="1"/>
  <c r="U13" i="13"/>
  <c r="V13" i="13" s="1"/>
  <c r="W13" i="13" s="1"/>
  <c r="O13" i="13"/>
  <c r="X13" i="13" s="1"/>
  <c r="N13" i="13"/>
  <c r="M13" i="13"/>
  <c r="B13" i="13"/>
  <c r="AF12" i="13"/>
  <c r="AE12" i="13"/>
  <c r="AA12" i="13"/>
  <c r="AB12" i="13" s="1"/>
  <c r="AG12" i="13" s="1"/>
  <c r="U12" i="13"/>
  <c r="V12" i="13" s="1"/>
  <c r="W12" i="13" s="1"/>
  <c r="O12" i="13"/>
  <c r="N12" i="13"/>
  <c r="M12" i="13"/>
  <c r="B12" i="13"/>
  <c r="AF11" i="13"/>
  <c r="AE11" i="13"/>
  <c r="AA11" i="13"/>
  <c r="AB11" i="13" s="1"/>
  <c r="AG11" i="13" s="1"/>
  <c r="U11" i="13"/>
  <c r="V11" i="13" s="1"/>
  <c r="W11" i="13" s="1"/>
  <c r="O11" i="13"/>
  <c r="X11" i="13" s="1"/>
  <c r="AI11" i="13" s="1"/>
  <c r="AJ11" i="13" s="1"/>
  <c r="N11" i="13"/>
  <c r="M11" i="13"/>
  <c r="B11" i="13"/>
  <c r="AF10" i="13"/>
  <c r="AE10" i="13"/>
  <c r="AA10" i="13"/>
  <c r="AB10" i="13" s="1"/>
  <c r="AG10" i="13" s="1"/>
  <c r="U10" i="13"/>
  <c r="V10" i="13" s="1"/>
  <c r="W10" i="13" s="1"/>
  <c r="O10" i="13"/>
  <c r="N10" i="13"/>
  <c r="M10" i="13"/>
  <c r="B5" i="13"/>
  <c r="B4" i="13"/>
  <c r="B3" i="13"/>
  <c r="B2" i="13"/>
  <c r="B1" i="13"/>
  <c r="AJ11" i="12"/>
  <c r="AF26" i="12"/>
  <c r="AF42" i="12"/>
  <c r="AE11" i="12"/>
  <c r="AF11" i="12" s="1"/>
  <c r="AE12" i="12"/>
  <c r="AF12" i="12" s="1"/>
  <c r="AE13" i="12"/>
  <c r="AF13" i="12" s="1"/>
  <c r="AE14" i="12"/>
  <c r="AF14" i="12" s="1"/>
  <c r="AE15" i="12"/>
  <c r="AF15" i="12" s="1"/>
  <c r="AE16" i="12"/>
  <c r="AF16" i="12" s="1"/>
  <c r="AE17" i="12"/>
  <c r="AF17" i="12" s="1"/>
  <c r="AE18" i="12"/>
  <c r="AF18" i="12" s="1"/>
  <c r="AE19" i="12"/>
  <c r="AF19" i="12" s="1"/>
  <c r="AE20" i="12"/>
  <c r="AF20" i="12" s="1"/>
  <c r="AE21" i="12"/>
  <c r="AF21" i="12" s="1"/>
  <c r="AE22" i="12"/>
  <c r="AF22" i="12" s="1"/>
  <c r="AE23" i="12"/>
  <c r="AF23" i="12" s="1"/>
  <c r="AE24" i="12"/>
  <c r="AF24" i="12" s="1"/>
  <c r="AE25" i="12"/>
  <c r="AF25" i="12" s="1"/>
  <c r="AE26" i="12"/>
  <c r="AE27" i="12"/>
  <c r="AF27" i="12" s="1"/>
  <c r="AE28" i="12"/>
  <c r="AF28" i="12" s="1"/>
  <c r="AE29" i="12"/>
  <c r="AF29" i="12" s="1"/>
  <c r="AE30" i="12"/>
  <c r="AF30" i="12" s="1"/>
  <c r="AE31" i="12"/>
  <c r="AF31" i="12" s="1"/>
  <c r="AE32" i="12"/>
  <c r="AF32" i="12" s="1"/>
  <c r="AE33" i="12"/>
  <c r="AF33" i="12" s="1"/>
  <c r="AE34" i="12"/>
  <c r="AF34" i="12" s="1"/>
  <c r="AE35" i="12"/>
  <c r="AF35" i="12" s="1"/>
  <c r="AE36" i="12"/>
  <c r="AF36" i="12" s="1"/>
  <c r="AE37" i="12"/>
  <c r="AF37" i="12" s="1"/>
  <c r="AE38" i="12"/>
  <c r="AF38" i="12" s="1"/>
  <c r="AE39" i="12"/>
  <c r="AF39" i="12" s="1"/>
  <c r="AE40" i="12"/>
  <c r="AF40" i="12" s="1"/>
  <c r="AE41" i="12"/>
  <c r="AF41" i="12" s="1"/>
  <c r="AE42" i="12"/>
  <c r="AE43" i="12"/>
  <c r="AF43" i="12" s="1"/>
  <c r="AE44" i="12"/>
  <c r="AF44" i="12" s="1"/>
  <c r="AE45" i="12"/>
  <c r="AF45" i="12" s="1"/>
  <c r="AE46" i="12"/>
  <c r="AF46" i="12" s="1"/>
  <c r="AE47" i="12"/>
  <c r="AF47" i="12" s="1"/>
  <c r="AE48" i="12"/>
  <c r="AF48" i="12" s="1"/>
  <c r="AE49" i="12"/>
  <c r="AF49" i="12" s="1"/>
  <c r="AE10" i="12"/>
  <c r="AF10" i="12" s="1"/>
  <c r="AI23" i="14" l="1"/>
  <c r="AJ23" i="14" s="1"/>
  <c r="AG24" i="14"/>
  <c r="AG25" i="14"/>
  <c r="X11" i="14"/>
  <c r="AI11" i="14" s="1"/>
  <c r="AJ11" i="14" s="1"/>
  <c r="X12" i="14"/>
  <c r="AI12" i="14" s="1"/>
  <c r="AJ12" i="14" s="1"/>
  <c r="X13" i="14"/>
  <c r="AI13" i="14" s="1"/>
  <c r="AJ13" i="14" s="1"/>
  <c r="X14" i="14"/>
  <c r="AI14" i="14" s="1"/>
  <c r="AJ14" i="14" s="1"/>
  <c r="X15" i="14"/>
  <c r="AI15" i="14" s="1"/>
  <c r="AJ15" i="14" s="1"/>
  <c r="X16" i="14"/>
  <c r="AI16" i="14" s="1"/>
  <c r="AJ16" i="14" s="1"/>
  <c r="X17" i="14"/>
  <c r="AI17" i="14" s="1"/>
  <c r="AJ17" i="14" s="1"/>
  <c r="X18" i="14"/>
  <c r="AI18" i="14" s="1"/>
  <c r="AJ18" i="14" s="1"/>
  <c r="X19" i="14"/>
  <c r="AI19" i="14" s="1"/>
  <c r="AJ19" i="14" s="1"/>
  <c r="X20" i="14"/>
  <c r="AI20" i="14" s="1"/>
  <c r="AJ20" i="14" s="1"/>
  <c r="X21" i="14"/>
  <c r="AI21" i="14" s="1"/>
  <c r="AJ21" i="14" s="1"/>
  <c r="AI28" i="14"/>
  <c r="AJ28" i="14" s="1"/>
  <c r="AI46" i="14"/>
  <c r="AJ46" i="14" s="1"/>
  <c r="X10" i="14"/>
  <c r="AI10" i="14" s="1"/>
  <c r="AJ10" i="14" s="1"/>
  <c r="X24" i="14"/>
  <c r="X25" i="14"/>
  <c r="AI25" i="14" s="1"/>
  <c r="AJ25" i="14" s="1"/>
  <c r="AI36" i="14"/>
  <c r="AJ36" i="14" s="1"/>
  <c r="AI44" i="14"/>
  <c r="AJ44" i="14" s="1"/>
  <c r="AG29" i="14"/>
  <c r="AI29" i="14" s="1"/>
  <c r="AJ29" i="14" s="1"/>
  <c r="AG30" i="14"/>
  <c r="AI30" i="14" s="1"/>
  <c r="AJ30" i="14" s="1"/>
  <c r="AG32" i="14"/>
  <c r="AI32" i="14" s="1"/>
  <c r="AJ32" i="14" s="1"/>
  <c r="AG34" i="14"/>
  <c r="AI34" i="14" s="1"/>
  <c r="AJ34" i="14" s="1"/>
  <c r="AG36" i="14"/>
  <c r="AG38" i="14"/>
  <c r="AI38" i="14" s="1"/>
  <c r="AJ38" i="14" s="1"/>
  <c r="AG40" i="14"/>
  <c r="AI40" i="14" s="1"/>
  <c r="AJ40" i="14" s="1"/>
  <c r="AG42" i="14"/>
  <c r="AI42" i="14" s="1"/>
  <c r="AJ42" i="14" s="1"/>
  <c r="AG44" i="14"/>
  <c r="AG46" i="14"/>
  <c r="AG48" i="14"/>
  <c r="AI48" i="14" s="1"/>
  <c r="AJ48" i="14" s="1"/>
  <c r="X12" i="13"/>
  <c r="AI12" i="13" s="1"/>
  <c r="AJ12" i="13" s="1"/>
  <c r="X16" i="13"/>
  <c r="AI16" i="13" s="1"/>
  <c r="AJ16" i="13" s="1"/>
  <c r="X20" i="13"/>
  <c r="AI20" i="13" s="1"/>
  <c r="AJ20" i="13" s="1"/>
  <c r="AG22" i="13"/>
  <c r="AG23" i="13"/>
  <c r="AI32" i="13"/>
  <c r="AJ32" i="13" s="1"/>
  <c r="AI13" i="13"/>
  <c r="AJ13" i="13" s="1"/>
  <c r="AI17" i="13"/>
  <c r="AJ17" i="13" s="1"/>
  <c r="AI26" i="13"/>
  <c r="AJ26" i="13" s="1"/>
  <c r="AI27" i="13"/>
  <c r="AJ27" i="13" s="1"/>
  <c r="AI38" i="13"/>
  <c r="AJ38" i="13" s="1"/>
  <c r="AI21" i="13"/>
  <c r="AJ21" i="13" s="1"/>
  <c r="X10" i="13"/>
  <c r="AI10" i="13" s="1"/>
  <c r="AJ10" i="13" s="1"/>
  <c r="X14" i="13"/>
  <c r="AI14" i="13" s="1"/>
  <c r="AJ14" i="13" s="1"/>
  <c r="X18" i="13"/>
  <c r="AI18" i="13" s="1"/>
  <c r="AJ18" i="13" s="1"/>
  <c r="X22" i="13"/>
  <c r="AI22" i="13" s="1"/>
  <c r="AJ22" i="13" s="1"/>
  <c r="X23" i="13"/>
  <c r="AI23" i="13" s="1"/>
  <c r="AJ23" i="13" s="1"/>
  <c r="AG30" i="13"/>
  <c r="AI30" i="13" s="1"/>
  <c r="AJ30" i="13" s="1"/>
  <c r="AG32" i="13"/>
  <c r="AG34" i="13"/>
  <c r="AI34" i="13" s="1"/>
  <c r="AJ34" i="13" s="1"/>
  <c r="AG36" i="13"/>
  <c r="AI36" i="13" s="1"/>
  <c r="AJ36" i="13" s="1"/>
  <c r="AG38" i="13"/>
  <c r="AG40" i="13"/>
  <c r="AI40" i="13" s="1"/>
  <c r="AJ40" i="13" s="1"/>
  <c r="AG42" i="13"/>
  <c r="AI42" i="13" s="1"/>
  <c r="AJ42" i="13" s="1"/>
  <c r="AG44" i="13"/>
  <c r="AI44" i="13" s="1"/>
  <c r="AJ44" i="13" s="1"/>
  <c r="AG48" i="13"/>
  <c r="AI48" i="13" s="1"/>
  <c r="AJ48" i="13" s="1"/>
  <c r="AA11" i="12"/>
  <c r="AB11" i="12" s="1"/>
  <c r="AG11" i="12" s="1"/>
  <c r="AA12" i="12"/>
  <c r="AB12" i="12" s="1"/>
  <c r="AG12" i="12" s="1"/>
  <c r="AA13" i="12"/>
  <c r="AB13" i="12" s="1"/>
  <c r="AG13" i="12" s="1"/>
  <c r="AA14" i="12"/>
  <c r="AB14" i="12" s="1"/>
  <c r="AG14" i="12" s="1"/>
  <c r="AA15" i="12"/>
  <c r="AB15" i="12" s="1"/>
  <c r="AG15" i="12" s="1"/>
  <c r="AA16" i="12"/>
  <c r="AB16" i="12" s="1"/>
  <c r="AG16" i="12" s="1"/>
  <c r="AA17" i="12"/>
  <c r="AB17" i="12" s="1"/>
  <c r="AG17" i="12" s="1"/>
  <c r="AA18" i="12"/>
  <c r="AB18" i="12" s="1"/>
  <c r="AG18" i="12" s="1"/>
  <c r="AA19" i="12"/>
  <c r="AB19" i="12" s="1"/>
  <c r="AG19" i="12" s="1"/>
  <c r="AA20" i="12"/>
  <c r="AB20" i="12" s="1"/>
  <c r="AG20" i="12" s="1"/>
  <c r="AA21" i="12"/>
  <c r="AB21" i="12" s="1"/>
  <c r="AG21" i="12" s="1"/>
  <c r="AA22" i="12"/>
  <c r="AB22" i="12" s="1"/>
  <c r="AG22" i="12" s="1"/>
  <c r="AA23" i="12"/>
  <c r="AB23" i="12" s="1"/>
  <c r="AG23" i="12" s="1"/>
  <c r="AA24" i="12"/>
  <c r="AB24" i="12" s="1"/>
  <c r="AG24" i="12" s="1"/>
  <c r="AA25" i="12"/>
  <c r="AB25" i="12" s="1"/>
  <c r="AG25" i="12" s="1"/>
  <c r="AA26" i="12"/>
  <c r="AB26" i="12" s="1"/>
  <c r="AG26" i="12" s="1"/>
  <c r="AA27" i="12"/>
  <c r="AB27" i="12" s="1"/>
  <c r="AG27" i="12" s="1"/>
  <c r="AA28" i="12"/>
  <c r="AB28" i="12" s="1"/>
  <c r="AG28" i="12" s="1"/>
  <c r="AA29" i="12"/>
  <c r="AB29" i="12" s="1"/>
  <c r="AG29" i="12" s="1"/>
  <c r="AA30" i="12"/>
  <c r="AB30" i="12" s="1"/>
  <c r="AG30" i="12" s="1"/>
  <c r="AA31" i="12"/>
  <c r="AB31" i="12" s="1"/>
  <c r="AG31" i="12" s="1"/>
  <c r="AA32" i="12"/>
  <c r="AB32" i="12" s="1"/>
  <c r="AG32" i="12" s="1"/>
  <c r="AA33" i="12"/>
  <c r="AB33" i="12" s="1"/>
  <c r="AG33" i="12" s="1"/>
  <c r="AA34" i="12"/>
  <c r="AB34" i="12" s="1"/>
  <c r="AG34" i="12" s="1"/>
  <c r="AA35" i="12"/>
  <c r="AB35" i="12" s="1"/>
  <c r="AG35" i="12" s="1"/>
  <c r="AA36" i="12"/>
  <c r="AB36" i="12" s="1"/>
  <c r="AG36" i="12" s="1"/>
  <c r="AA37" i="12"/>
  <c r="AB37" i="12" s="1"/>
  <c r="AG37" i="12" s="1"/>
  <c r="AA38" i="12"/>
  <c r="AB38" i="12" s="1"/>
  <c r="AG38" i="12" s="1"/>
  <c r="AA39" i="12"/>
  <c r="AB39" i="12" s="1"/>
  <c r="AG39" i="12" s="1"/>
  <c r="AA40" i="12"/>
  <c r="AB40" i="12" s="1"/>
  <c r="AG40" i="12" s="1"/>
  <c r="AA41" i="12"/>
  <c r="AB41" i="12" s="1"/>
  <c r="AG41" i="12" s="1"/>
  <c r="AA42" i="12"/>
  <c r="AB42" i="12" s="1"/>
  <c r="AG42" i="12" s="1"/>
  <c r="AA43" i="12"/>
  <c r="AB43" i="12" s="1"/>
  <c r="AG43" i="12" s="1"/>
  <c r="AA44" i="12"/>
  <c r="AB44" i="12" s="1"/>
  <c r="AG44" i="12" s="1"/>
  <c r="AA45" i="12"/>
  <c r="AB45" i="12" s="1"/>
  <c r="AG45" i="12" s="1"/>
  <c r="AA46" i="12"/>
  <c r="AB46" i="12" s="1"/>
  <c r="AG46" i="12" s="1"/>
  <c r="AA47" i="12"/>
  <c r="AB47" i="12" s="1"/>
  <c r="AG47" i="12" s="1"/>
  <c r="AA48" i="12"/>
  <c r="AB48" i="12" s="1"/>
  <c r="AG48" i="12" s="1"/>
  <c r="AA49" i="12"/>
  <c r="AB49" i="12" s="1"/>
  <c r="AG49" i="12" s="1"/>
  <c r="AA10" i="12"/>
  <c r="AB10" i="12" s="1"/>
  <c r="AG10" i="12" s="1"/>
  <c r="U11" i="12"/>
  <c r="V11" i="12" s="1"/>
  <c r="W11" i="12" s="1"/>
  <c r="U12" i="12"/>
  <c r="V12" i="12" s="1"/>
  <c r="W12" i="12" s="1"/>
  <c r="U13" i="12"/>
  <c r="V13" i="12" s="1"/>
  <c r="W13" i="12" s="1"/>
  <c r="U14" i="12"/>
  <c r="V14" i="12" s="1"/>
  <c r="W14" i="12" s="1"/>
  <c r="U15" i="12"/>
  <c r="V15" i="12" s="1"/>
  <c r="W15" i="12" s="1"/>
  <c r="U16" i="12"/>
  <c r="V16" i="12" s="1"/>
  <c r="W16" i="12" s="1"/>
  <c r="U17" i="12"/>
  <c r="V17" i="12" s="1"/>
  <c r="W17" i="12" s="1"/>
  <c r="U18" i="12"/>
  <c r="V18" i="12" s="1"/>
  <c r="W18" i="12" s="1"/>
  <c r="U19" i="12"/>
  <c r="V19" i="12" s="1"/>
  <c r="W19" i="12" s="1"/>
  <c r="U20" i="12"/>
  <c r="V20" i="12" s="1"/>
  <c r="W20" i="12" s="1"/>
  <c r="U21" i="12"/>
  <c r="V21" i="12" s="1"/>
  <c r="W21" i="12" s="1"/>
  <c r="U22" i="12"/>
  <c r="V22" i="12" s="1"/>
  <c r="W22" i="12" s="1"/>
  <c r="U23" i="12"/>
  <c r="V23" i="12" s="1"/>
  <c r="W23" i="12" s="1"/>
  <c r="U24" i="12"/>
  <c r="V24" i="12" s="1"/>
  <c r="W24" i="12" s="1"/>
  <c r="U25" i="12"/>
  <c r="V25" i="12" s="1"/>
  <c r="W25" i="12" s="1"/>
  <c r="U26" i="12"/>
  <c r="V26" i="12" s="1"/>
  <c r="W26" i="12" s="1"/>
  <c r="U27" i="12"/>
  <c r="V27" i="12" s="1"/>
  <c r="W27" i="12" s="1"/>
  <c r="U28" i="12"/>
  <c r="V28" i="12" s="1"/>
  <c r="W28" i="12" s="1"/>
  <c r="U29" i="12"/>
  <c r="V29" i="12" s="1"/>
  <c r="W29" i="12" s="1"/>
  <c r="U30" i="12"/>
  <c r="V30" i="12" s="1"/>
  <c r="W30" i="12" s="1"/>
  <c r="U31" i="12"/>
  <c r="V31" i="12" s="1"/>
  <c r="W31" i="12" s="1"/>
  <c r="U32" i="12"/>
  <c r="V32" i="12" s="1"/>
  <c r="W32" i="12" s="1"/>
  <c r="U33" i="12"/>
  <c r="V33" i="12" s="1"/>
  <c r="W33" i="12" s="1"/>
  <c r="U34" i="12"/>
  <c r="V34" i="12" s="1"/>
  <c r="W34" i="12" s="1"/>
  <c r="U35" i="12"/>
  <c r="V35" i="12" s="1"/>
  <c r="W35" i="12" s="1"/>
  <c r="U36" i="12"/>
  <c r="V36" i="12" s="1"/>
  <c r="W36" i="12" s="1"/>
  <c r="U37" i="12"/>
  <c r="V37" i="12" s="1"/>
  <c r="W37" i="12" s="1"/>
  <c r="U38" i="12"/>
  <c r="V38" i="12" s="1"/>
  <c r="W38" i="12" s="1"/>
  <c r="U39" i="12"/>
  <c r="V39" i="12" s="1"/>
  <c r="W39" i="12" s="1"/>
  <c r="U40" i="12"/>
  <c r="V40" i="12" s="1"/>
  <c r="W40" i="12" s="1"/>
  <c r="U41" i="12"/>
  <c r="V41" i="12" s="1"/>
  <c r="W41" i="12" s="1"/>
  <c r="U42" i="12"/>
  <c r="V42" i="12" s="1"/>
  <c r="W42" i="12" s="1"/>
  <c r="U43" i="12"/>
  <c r="V43" i="12" s="1"/>
  <c r="W43" i="12" s="1"/>
  <c r="U44" i="12"/>
  <c r="V44" i="12" s="1"/>
  <c r="W44" i="12" s="1"/>
  <c r="U45" i="12"/>
  <c r="V45" i="12" s="1"/>
  <c r="W45" i="12" s="1"/>
  <c r="U46" i="12"/>
  <c r="V46" i="12" s="1"/>
  <c r="W46" i="12" s="1"/>
  <c r="U47" i="12"/>
  <c r="V47" i="12" s="1"/>
  <c r="W47" i="12" s="1"/>
  <c r="U48" i="12"/>
  <c r="V48" i="12" s="1"/>
  <c r="W48" i="12" s="1"/>
  <c r="U49" i="12"/>
  <c r="V49" i="12" s="1"/>
  <c r="W49" i="12" s="1"/>
  <c r="U10" i="12"/>
  <c r="V10" i="12" s="1"/>
  <c r="W10" i="12" s="1"/>
  <c r="M11" i="12"/>
  <c r="N11" i="12" s="1"/>
  <c r="O11" i="12" s="1"/>
  <c r="M12" i="12"/>
  <c r="N12" i="12" s="1"/>
  <c r="O12" i="12" s="1"/>
  <c r="M13" i="12"/>
  <c r="N13" i="12" s="1"/>
  <c r="O13" i="12" s="1"/>
  <c r="M14" i="12"/>
  <c r="N14" i="12" s="1"/>
  <c r="O14" i="12" s="1"/>
  <c r="M15" i="12"/>
  <c r="N15" i="12" s="1"/>
  <c r="O15" i="12" s="1"/>
  <c r="M16" i="12"/>
  <c r="N16" i="12" s="1"/>
  <c r="O16" i="12" s="1"/>
  <c r="M17" i="12"/>
  <c r="N17" i="12" s="1"/>
  <c r="O17" i="12" s="1"/>
  <c r="M18" i="12"/>
  <c r="N18" i="12" s="1"/>
  <c r="O18" i="12" s="1"/>
  <c r="M19" i="12"/>
  <c r="N19" i="12" s="1"/>
  <c r="O19" i="12" s="1"/>
  <c r="M20" i="12"/>
  <c r="N20" i="12" s="1"/>
  <c r="O20" i="12" s="1"/>
  <c r="M21" i="12"/>
  <c r="N21" i="12" s="1"/>
  <c r="O21" i="12" s="1"/>
  <c r="M22" i="12"/>
  <c r="N22" i="12" s="1"/>
  <c r="O22" i="12" s="1"/>
  <c r="M23" i="12"/>
  <c r="N23" i="12" s="1"/>
  <c r="O23" i="12" s="1"/>
  <c r="M24" i="12"/>
  <c r="N24" i="12" s="1"/>
  <c r="O24" i="12" s="1"/>
  <c r="M25" i="12"/>
  <c r="N25" i="12" s="1"/>
  <c r="O25" i="12" s="1"/>
  <c r="M26" i="12"/>
  <c r="N26" i="12" s="1"/>
  <c r="O26" i="12" s="1"/>
  <c r="M27" i="12"/>
  <c r="N27" i="12" s="1"/>
  <c r="O27" i="12" s="1"/>
  <c r="M28" i="12"/>
  <c r="N28" i="12" s="1"/>
  <c r="O28" i="12" s="1"/>
  <c r="M29" i="12"/>
  <c r="N29" i="12" s="1"/>
  <c r="O29" i="12" s="1"/>
  <c r="M30" i="12"/>
  <c r="N30" i="12" s="1"/>
  <c r="O30" i="12" s="1"/>
  <c r="M31" i="12"/>
  <c r="N31" i="12" s="1"/>
  <c r="O31" i="12" s="1"/>
  <c r="M32" i="12"/>
  <c r="N32" i="12" s="1"/>
  <c r="O32" i="12" s="1"/>
  <c r="M33" i="12"/>
  <c r="N33" i="12" s="1"/>
  <c r="O33" i="12" s="1"/>
  <c r="M34" i="12"/>
  <c r="N34" i="12" s="1"/>
  <c r="O34" i="12" s="1"/>
  <c r="M35" i="12"/>
  <c r="N35" i="12" s="1"/>
  <c r="O35" i="12" s="1"/>
  <c r="M36" i="12"/>
  <c r="N36" i="12" s="1"/>
  <c r="O36" i="12" s="1"/>
  <c r="M37" i="12"/>
  <c r="N37" i="12" s="1"/>
  <c r="O37" i="12" s="1"/>
  <c r="M38" i="12"/>
  <c r="N38" i="12" s="1"/>
  <c r="O38" i="12" s="1"/>
  <c r="M39" i="12"/>
  <c r="N39" i="12" s="1"/>
  <c r="O39" i="12" s="1"/>
  <c r="M40" i="12"/>
  <c r="N40" i="12" s="1"/>
  <c r="O40" i="12" s="1"/>
  <c r="M41" i="12"/>
  <c r="N41" i="12" s="1"/>
  <c r="O41" i="12" s="1"/>
  <c r="M42" i="12"/>
  <c r="N42" i="12" s="1"/>
  <c r="O42" i="12" s="1"/>
  <c r="M43" i="12"/>
  <c r="N43" i="12" s="1"/>
  <c r="O43" i="12" s="1"/>
  <c r="M44" i="12"/>
  <c r="N44" i="12" s="1"/>
  <c r="O44" i="12" s="1"/>
  <c r="M45" i="12"/>
  <c r="N45" i="12" s="1"/>
  <c r="O45" i="12" s="1"/>
  <c r="M46" i="12"/>
  <c r="N46" i="12" s="1"/>
  <c r="O46" i="12" s="1"/>
  <c r="M47" i="12"/>
  <c r="N47" i="12" s="1"/>
  <c r="O47" i="12" s="1"/>
  <c r="M48" i="12"/>
  <c r="N48" i="12" s="1"/>
  <c r="O48" i="12" s="1"/>
  <c r="M49" i="12"/>
  <c r="N49" i="12" s="1"/>
  <c r="O49" i="12" s="1"/>
  <c r="M1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5" i="12"/>
  <c r="B4" i="12"/>
  <c r="B3" i="12"/>
  <c r="B2" i="12"/>
  <c r="B1" i="12"/>
  <c r="M11" i="5"/>
  <c r="C12" i="12" s="1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10" i="5"/>
  <c r="C11" i="12" s="1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10" i="5"/>
  <c r="C11" i="14" s="1"/>
  <c r="B50" i="4"/>
  <c r="AI24" i="14" l="1"/>
  <c r="AJ24" i="14" s="1"/>
  <c r="X11" i="12"/>
  <c r="AI11" i="12" s="1"/>
  <c r="N10" i="12"/>
  <c r="O10" i="12" s="1"/>
  <c r="X10" i="12" s="1"/>
  <c r="AI10" i="12" s="1"/>
  <c r="AJ10" i="12" s="1"/>
  <c r="X43" i="12"/>
  <c r="AI43" i="12" s="1"/>
  <c r="AJ43" i="12" s="1"/>
  <c r="X35" i="12"/>
  <c r="AI35" i="12" s="1"/>
  <c r="AJ35" i="12" s="1"/>
  <c r="X19" i="12"/>
  <c r="AI19" i="12" s="1"/>
  <c r="AJ19" i="12" s="1"/>
  <c r="X46" i="12"/>
  <c r="AI46" i="12" s="1"/>
  <c r="AJ46" i="12" s="1"/>
  <c r="X42" i="12"/>
  <c r="AI42" i="12" s="1"/>
  <c r="AJ42" i="12" s="1"/>
  <c r="X38" i="12"/>
  <c r="AI38" i="12" s="1"/>
  <c r="AJ38" i="12" s="1"/>
  <c r="X34" i="12"/>
  <c r="AI34" i="12" s="1"/>
  <c r="AJ34" i="12" s="1"/>
  <c r="X30" i="12"/>
  <c r="AI30" i="12" s="1"/>
  <c r="AJ30" i="12" s="1"/>
  <c r="X26" i="12"/>
  <c r="AI26" i="12" s="1"/>
  <c r="AJ26" i="12" s="1"/>
  <c r="X22" i="12"/>
  <c r="AI22" i="12" s="1"/>
  <c r="AJ22" i="12" s="1"/>
  <c r="X18" i="12"/>
  <c r="AI18" i="12" s="1"/>
  <c r="AJ18" i="12" s="1"/>
  <c r="X14" i="12"/>
  <c r="AI14" i="12" s="1"/>
  <c r="AJ14" i="12" s="1"/>
  <c r="X39" i="12"/>
  <c r="AI39" i="12" s="1"/>
  <c r="AJ39" i="12" s="1"/>
  <c r="X27" i="12"/>
  <c r="AI27" i="12" s="1"/>
  <c r="AJ27" i="12" s="1"/>
  <c r="X15" i="12"/>
  <c r="AI15" i="12" s="1"/>
  <c r="AJ15" i="12" s="1"/>
  <c r="X49" i="12"/>
  <c r="AI49" i="12" s="1"/>
  <c r="AJ49" i="12" s="1"/>
  <c r="X45" i="12"/>
  <c r="AI45" i="12" s="1"/>
  <c r="AJ45" i="12" s="1"/>
  <c r="X41" i="12"/>
  <c r="AI41" i="12" s="1"/>
  <c r="AJ41" i="12" s="1"/>
  <c r="X37" i="12"/>
  <c r="AI37" i="12" s="1"/>
  <c r="AJ37" i="12" s="1"/>
  <c r="X33" i="12"/>
  <c r="AI33" i="12" s="1"/>
  <c r="AJ33" i="12" s="1"/>
  <c r="X29" i="12"/>
  <c r="AI29" i="12" s="1"/>
  <c r="AJ29" i="12" s="1"/>
  <c r="X25" i="12"/>
  <c r="AI25" i="12" s="1"/>
  <c r="AJ25" i="12" s="1"/>
  <c r="X21" i="12"/>
  <c r="AI21" i="12" s="1"/>
  <c r="AJ21" i="12" s="1"/>
  <c r="X17" i="12"/>
  <c r="AI17" i="12" s="1"/>
  <c r="AJ17" i="12" s="1"/>
  <c r="X13" i="12"/>
  <c r="AI13" i="12" s="1"/>
  <c r="AJ13" i="12" s="1"/>
  <c r="X47" i="12"/>
  <c r="AI47" i="12" s="1"/>
  <c r="AJ47" i="12" s="1"/>
  <c r="X31" i="12"/>
  <c r="AI31" i="12" s="1"/>
  <c r="AJ31" i="12" s="1"/>
  <c r="X23" i="12"/>
  <c r="AI23" i="12" s="1"/>
  <c r="AJ23" i="12" s="1"/>
  <c r="X48" i="12"/>
  <c r="AI48" i="12" s="1"/>
  <c r="AJ48" i="12" s="1"/>
  <c r="X44" i="12"/>
  <c r="AI44" i="12" s="1"/>
  <c r="AJ44" i="12" s="1"/>
  <c r="X40" i="12"/>
  <c r="AI40" i="12" s="1"/>
  <c r="AJ40" i="12" s="1"/>
  <c r="X36" i="12"/>
  <c r="AI36" i="12" s="1"/>
  <c r="AJ36" i="12" s="1"/>
  <c r="X32" i="12"/>
  <c r="AI32" i="12" s="1"/>
  <c r="AJ32" i="12" s="1"/>
  <c r="X28" i="12"/>
  <c r="AI28" i="12" s="1"/>
  <c r="AJ28" i="12" s="1"/>
  <c r="X24" i="12"/>
  <c r="AI24" i="12" s="1"/>
  <c r="AJ24" i="12" s="1"/>
  <c r="X20" i="12"/>
  <c r="AI20" i="12" s="1"/>
  <c r="AJ20" i="12" s="1"/>
  <c r="X16" i="12"/>
  <c r="AI16" i="12" s="1"/>
  <c r="AJ16" i="12" s="1"/>
  <c r="X12" i="12"/>
  <c r="AI12" i="12" s="1"/>
  <c r="AJ12" i="12" s="1"/>
  <c r="B2" i="4" l="1"/>
  <c r="B3" i="4"/>
  <c r="B4" i="4"/>
  <c r="B5" i="4"/>
  <c r="B1" i="4"/>
  <c r="BP10" i="4" l="1"/>
  <c r="F50" i="4" l="1"/>
  <c r="G50" i="4" s="1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13" i="4"/>
  <c r="B14" i="4"/>
  <c r="B12" i="4" l="1"/>
  <c r="F33" i="4" l="1"/>
  <c r="G33" i="4" s="1"/>
  <c r="F41" i="4"/>
  <c r="G41" i="4" s="1"/>
  <c r="F27" i="4"/>
  <c r="G27" i="4" s="1"/>
  <c r="F37" i="4"/>
  <c r="G37" i="4" s="1"/>
  <c r="F35" i="4"/>
  <c r="G35" i="4" s="1"/>
  <c r="F23" i="4"/>
  <c r="G23" i="4" s="1"/>
  <c r="F40" i="4"/>
  <c r="G40" i="4" s="1"/>
  <c r="F43" i="4"/>
  <c r="G43" i="4" s="1"/>
  <c r="F16" i="4"/>
  <c r="G16" i="4" s="1"/>
  <c r="F42" i="4" l="1"/>
  <c r="G42" i="4" s="1"/>
  <c r="F19" i="4"/>
  <c r="G19" i="4" s="1"/>
  <c r="F18" i="4"/>
  <c r="G18" i="4" s="1"/>
  <c r="F34" i="4"/>
  <c r="G34" i="4" s="1"/>
  <c r="F36" i="4"/>
  <c r="G36" i="4" s="1"/>
  <c r="F45" i="4"/>
  <c r="G45" i="4" s="1"/>
  <c r="F26" i="4"/>
  <c r="G26" i="4" s="1"/>
  <c r="F38" i="4"/>
  <c r="G38" i="4" s="1"/>
  <c r="F31" i="4"/>
  <c r="G31" i="4" s="1"/>
  <c r="F22" i="4"/>
  <c r="G22" i="4" s="1"/>
  <c r="F30" i="4"/>
  <c r="G30" i="4" s="1"/>
  <c r="F28" i="4"/>
  <c r="G28" i="4" s="1"/>
  <c r="F12" i="4"/>
  <c r="G12" i="4" s="1"/>
  <c r="F29" i="4"/>
  <c r="G29" i="4" s="1"/>
  <c r="F48" i="4"/>
  <c r="G48" i="4" s="1"/>
  <c r="F46" i="4"/>
  <c r="G46" i="4" s="1"/>
  <c r="F14" i="4"/>
  <c r="G14" i="4" s="1"/>
  <c r="F44" i="4"/>
  <c r="G44" i="4" s="1"/>
  <c r="F47" i="4"/>
  <c r="G47" i="4" s="1"/>
  <c r="F32" i="4"/>
  <c r="G32" i="4" s="1"/>
  <c r="F20" i="4"/>
  <c r="G20" i="4" s="1"/>
  <c r="F24" i="4"/>
  <c r="G24" i="4" s="1"/>
  <c r="F15" i="4"/>
  <c r="G15" i="4" s="1"/>
  <c r="F13" i="4"/>
  <c r="G13" i="4" s="1"/>
  <c r="F21" i="4"/>
  <c r="G21" i="4" s="1"/>
  <c r="F25" i="4"/>
  <c r="G25" i="4" s="1"/>
  <c r="F17" i="4"/>
  <c r="G17" i="4" s="1"/>
  <c r="F39" i="4"/>
  <c r="G39" i="4" s="1"/>
  <c r="F49" i="4"/>
  <c r="G49" i="4" s="1"/>
</calcChain>
</file>

<file path=xl/sharedStrings.xml><?xml version="1.0" encoding="utf-8"?>
<sst xmlns="http://schemas.openxmlformats.org/spreadsheetml/2006/main" count="124" uniqueCount="81">
  <si>
    <t>Names</t>
  </si>
  <si>
    <t>ATTENDANCE</t>
  </si>
  <si>
    <t>REMARKS</t>
  </si>
  <si>
    <t>GRADE</t>
  </si>
  <si>
    <t>PRELIM</t>
  </si>
  <si>
    <t>prelim</t>
  </si>
  <si>
    <t>midterm</t>
  </si>
  <si>
    <t>final</t>
  </si>
  <si>
    <t>PRELIM GRADE</t>
  </si>
  <si>
    <t>TOTAL GRADE:</t>
  </si>
  <si>
    <t xml:space="preserve">ATTENDANCE </t>
  </si>
  <si>
    <t>PRELIM (AIGUST - SEPTEMBER)</t>
  </si>
  <si>
    <t>MIDTERM (SEPTEMBER - OCTOBER)</t>
  </si>
  <si>
    <t>FINAL  (NOVEMBER - DECEMBER)</t>
  </si>
  <si>
    <t>Final Average</t>
  </si>
  <si>
    <t xml:space="preserve">Remarks </t>
  </si>
  <si>
    <t>MIDTERM GRADE</t>
  </si>
  <si>
    <t>MIDTERM</t>
  </si>
  <si>
    <t>FINAL</t>
  </si>
  <si>
    <t>FINAL GRADE</t>
  </si>
  <si>
    <t xml:space="preserve">TIME: </t>
  </si>
  <si>
    <t xml:space="preserve">ROOM: </t>
  </si>
  <si>
    <t xml:space="preserve">UNITS: </t>
  </si>
  <si>
    <t>TOTAL</t>
  </si>
  <si>
    <t>ANDIANO. NOEL RABAGO</t>
  </si>
  <si>
    <t>ASPE. SOPHIA ERICKA PACIENCIA</t>
  </si>
  <si>
    <t>ATONDUCAN. VINCE ASHLEY PAREÑAS</t>
  </si>
  <si>
    <t>BLANCO. KLYDE JANDY SAYNES</t>
  </si>
  <si>
    <t>BORROMEO. HARVEY KENT DUMALAG</t>
  </si>
  <si>
    <t>CABAYA. SOPHIA LOREN JURILLA</t>
  </si>
  <si>
    <t>CASIDA. KIESHA LOU RODRIGUEZ</t>
  </si>
  <si>
    <t>CUARESMA. LOUR DESIREE BAQUERO</t>
  </si>
  <si>
    <t>DETOPEREZ. KNYTZ PANIZALES</t>
  </si>
  <si>
    <t>DOMINGO. ARSENIO JR. DIOLESTE</t>
  </si>
  <si>
    <t>ESCANDA. ETHAN GABRIEL BERNALDEZ</t>
  </si>
  <si>
    <t>GENTERONE. LYCCA MAY PODADOR</t>
  </si>
  <si>
    <t>HITONES. APPLE ANDREA SU-AY</t>
  </si>
  <si>
    <t>ILISAN. JOHN PAUL PAGDATO</t>
  </si>
  <si>
    <t>JABAN. GABRIEL JAY JORNADAL</t>
  </si>
  <si>
    <t>JACULINA. KRIZEL JOY AMULAR</t>
  </si>
  <si>
    <t>LANGOTE. JAMELA FAYE SORBITO</t>
  </si>
  <si>
    <t>MAGDUGO. BHE JAY PANGANIBAN</t>
  </si>
  <si>
    <t>MARIANO. ERICKA MAE BALUCA</t>
  </si>
  <si>
    <t>MATULAC. JEREMIE LAÑOJAN</t>
  </si>
  <si>
    <t>NASA. GEN FLORENCE NELLAS</t>
  </si>
  <si>
    <t>ONEZ. CHRISTIAN JAY PATINIO</t>
  </si>
  <si>
    <t>PADILLO. KIRK HILARY MOTAO</t>
  </si>
  <si>
    <t>PAJO. MARK JEMUEL MANCENIDO</t>
  </si>
  <si>
    <t>PANALIGAN. LEREMAE SHEANE TUGAP</t>
  </si>
  <si>
    <t>PANGALINON. PETER GLIMADA</t>
  </si>
  <si>
    <t>PARADERO. NIKKO SOLAYAO</t>
  </si>
  <si>
    <t>RECALE. IVAN JAY DEMILLO</t>
  </si>
  <si>
    <t>ROCABERTE. IVAN JHAMES MEPERANUM</t>
  </si>
  <si>
    <t>SARDONCILLO. ELLY MAY YSULAN</t>
  </si>
  <si>
    <t>SIAGO. JERICHO CALUNSAG</t>
  </si>
  <si>
    <t>SILAGAN. THYRON CABILES</t>
  </si>
  <si>
    <t>SUERTE. KHENT BRIANE ORCASITAS</t>
  </si>
  <si>
    <t>SUMUGAT. EDGARDO JR. CORDEVILLA</t>
  </si>
  <si>
    <t>TABLATIN. CHRISTIAN JAY BAYONA</t>
  </si>
  <si>
    <t>TAMPUS. CALE JANINE BRINGAS</t>
  </si>
  <si>
    <t>TEJADA. JURIELLE MARTIZANO</t>
  </si>
  <si>
    <t>USMAN. KATHERINE YANONG</t>
  </si>
  <si>
    <t>VILLARBA. JACOB PERNITO</t>
  </si>
  <si>
    <t>SUBJECT: COMP 1</t>
  </si>
  <si>
    <t>COURSE/YEAR: BSIT 1A</t>
  </si>
  <si>
    <t>WEEK 1</t>
  </si>
  <si>
    <t>WEEK 2</t>
  </si>
  <si>
    <t>WEEK 3</t>
  </si>
  <si>
    <t>WEEK 4</t>
  </si>
  <si>
    <t>WEEK 5</t>
  </si>
  <si>
    <t>FORMATIVE ASSESSMENT</t>
  </si>
  <si>
    <t>SUMMATIVE ASSESSMENT</t>
  </si>
  <si>
    <t>QUIZZES/RECITATION/ASSIGNMENT</t>
  </si>
  <si>
    <t>LABORATORY EXERCISES</t>
  </si>
  <si>
    <t>PRELIM EXAM</t>
  </si>
  <si>
    <t>PROJECT/FINAL PRESENTATION</t>
  </si>
  <si>
    <t>15%</t>
  </si>
  <si>
    <t>FORMATIVE GRADE</t>
  </si>
  <si>
    <t>SUMMATIVE GRADE</t>
  </si>
  <si>
    <t>MIDTERM EXAM</t>
  </si>
  <si>
    <t>FINAL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</si>
</sst>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0;[Red]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Times New Roman"/>
      <family val="1"/>
    </font>
    <font>
      <b/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Times New Roman"/>
      <family val="1"/>
    </font>
    <font>
      <sz val="10"/>
      <color rgb="FFFF000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auto="1"/>
      </left>
      <right style="medium">
        <color indexed="64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2" borderId="0" applyNumberFormat="0" applyFont="0" applyBorder="0" applyAlignment="0" applyProtection="0"/>
    <xf numFmtId="0" fontId="3" fillId="0" borderId="0"/>
  </cellStyleXfs>
  <cellXfs count="217">
    <xf numFmtId="0" fontId="0" fillId="0" borderId="0" xfId="0"/>
    <xf numFmtId="0" fontId="4" fillId="0" borderId="0" xfId="1" applyNumberFormat="1" applyFont="1" applyFill="1" applyBorder="1" applyAlignment="1">
      <alignment horizontal="center"/>
    </xf>
    <xf numFmtId="0" fontId="5" fillId="0" borderId="0" xfId="1" applyNumberFormat="1" applyFont="1" applyFill="1" applyBorder="1" applyAlignment="1">
      <alignment horizontal="center"/>
    </xf>
    <xf numFmtId="0" fontId="8" fillId="3" borderId="1" xfId="1" applyNumberFormat="1" applyFont="1" applyFill="1" applyBorder="1" applyAlignment="1">
      <alignment horizontal="center"/>
    </xf>
    <xf numFmtId="0" fontId="5" fillId="3" borderId="2" xfId="1" applyNumberFormat="1" applyFont="1" applyFill="1" applyBorder="1" applyAlignment="1">
      <alignment horizontal="center"/>
    </xf>
    <xf numFmtId="0" fontId="8" fillId="0" borderId="4" xfId="1" applyNumberFormat="1" applyFont="1" applyFill="1" applyBorder="1" applyAlignment="1">
      <alignment horizontal="center"/>
    </xf>
    <xf numFmtId="0" fontId="11" fillId="0" borderId="5" xfId="1" applyNumberFormat="1" applyFont="1" applyFill="1" applyBorder="1" applyAlignment="1"/>
    <xf numFmtId="0" fontId="8" fillId="0" borderId="7" xfId="1" applyNumberFormat="1" applyFont="1" applyFill="1" applyBorder="1" applyAlignment="1">
      <alignment horizontal="center"/>
    </xf>
    <xf numFmtId="0" fontId="11" fillId="0" borderId="8" xfId="1" applyNumberFormat="1" applyFont="1" applyFill="1" applyBorder="1" applyAlignment="1"/>
    <xf numFmtId="0" fontId="8" fillId="0" borderId="5" xfId="1" applyNumberFormat="1" applyFont="1" applyFill="1" applyBorder="1" applyAlignment="1">
      <alignment horizontal="center"/>
    </xf>
    <xf numFmtId="0" fontId="8" fillId="0" borderId="1" xfId="1" applyNumberFormat="1" applyFont="1" applyFill="1" applyBorder="1" applyAlignment="1">
      <alignment horizontal="center"/>
    </xf>
    <xf numFmtId="0" fontId="15" fillId="0" borderId="5" xfId="2" applyFont="1" applyBorder="1" applyAlignment="1">
      <alignment horizontal="center"/>
    </xf>
    <xf numFmtId="164" fontId="12" fillId="0" borderId="5" xfId="2" applyNumberFormat="1" applyFont="1" applyBorder="1" applyAlignment="1">
      <alignment horizontal="center"/>
    </xf>
    <xf numFmtId="0" fontId="8" fillId="3" borderId="5" xfId="1" applyNumberFormat="1" applyFont="1" applyFill="1" applyBorder="1" applyAlignment="1">
      <alignment horizontal="center"/>
    </xf>
    <xf numFmtId="0" fontId="5" fillId="3" borderId="5" xfId="1" applyNumberFormat="1" applyFont="1" applyFill="1" applyBorder="1" applyAlignment="1">
      <alignment horizontal="center"/>
    </xf>
    <xf numFmtId="0" fontId="0" fillId="0" borderId="5" xfId="0" applyBorder="1"/>
    <xf numFmtId="0" fontId="16" fillId="0" borderId="0" xfId="0" applyFont="1"/>
    <xf numFmtId="0" fontId="17" fillId="0" borderId="0" xfId="0" applyFont="1"/>
    <xf numFmtId="0" fontId="1" fillId="0" borderId="9" xfId="0" applyFont="1" applyBorder="1"/>
    <xf numFmtId="0" fontId="7" fillId="0" borderId="0" xfId="0" applyFont="1"/>
    <xf numFmtId="0" fontId="10" fillId="0" borderId="0" xfId="0" applyFont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4" fillId="0" borderId="5" xfId="2" applyNumberFormat="1" applyFont="1" applyBorder="1" applyAlignment="1">
      <alignment horizontal="center"/>
    </xf>
    <xf numFmtId="0" fontId="6" fillId="0" borderId="0" xfId="1" applyNumberFormat="1" applyFont="1" applyFill="1" applyBorder="1" applyAlignment="1"/>
    <xf numFmtId="0" fontId="13" fillId="0" borderId="5" xfId="1" applyNumberFormat="1" applyFont="1" applyFill="1" applyBorder="1" applyAlignment="1">
      <alignment horizontal="center"/>
    </xf>
    <xf numFmtId="0" fontId="15" fillId="0" borderId="5" xfId="1" applyNumberFormat="1" applyFont="1" applyFill="1" applyBorder="1" applyAlignment="1">
      <alignment horizontal="center"/>
    </xf>
    <xf numFmtId="164" fontId="8" fillId="0" borderId="5" xfId="1" applyNumberFormat="1" applyFont="1" applyFill="1" applyBorder="1" applyAlignment="1">
      <alignment horizontal="center"/>
    </xf>
    <xf numFmtId="165" fontId="13" fillId="0" borderId="5" xfId="1" applyNumberFormat="1" applyFont="1" applyFill="1" applyBorder="1" applyAlignment="1">
      <alignment horizontal="center"/>
    </xf>
    <xf numFmtId="164" fontId="14" fillId="0" borderId="5" xfId="1" applyNumberFormat="1" applyFont="1" applyFill="1" applyBorder="1" applyAlignment="1">
      <alignment horizontal="center"/>
    </xf>
    <xf numFmtId="164" fontId="12" fillId="0" borderId="5" xfId="1" applyNumberFormat="1" applyFont="1" applyFill="1" applyBorder="1" applyAlignment="1">
      <alignment horizontal="center"/>
    </xf>
    <xf numFmtId="164" fontId="15" fillId="0" borderId="5" xfId="1" applyNumberFormat="1" applyFont="1" applyFill="1" applyBorder="1" applyAlignment="1">
      <alignment horizontal="center"/>
    </xf>
    <xf numFmtId="164" fontId="20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 applyProtection="1">
      <alignment horizontal="center"/>
      <protection hidden="1"/>
    </xf>
    <xf numFmtId="0" fontId="19" fillId="0" borderId="0" xfId="0" applyFont="1"/>
    <xf numFmtId="0" fontId="20" fillId="0" borderId="0" xfId="0" applyFont="1"/>
    <xf numFmtId="0" fontId="15" fillId="0" borderId="0" xfId="0" applyFont="1"/>
    <xf numFmtId="0" fontId="20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21" fillId="0" borderId="0" xfId="0" applyFont="1"/>
    <xf numFmtId="0" fontId="1" fillId="0" borderId="10" xfId="0" applyFont="1" applyBorder="1" applyAlignment="1">
      <alignment horizontal="center"/>
    </xf>
    <xf numFmtId="0" fontId="7" fillId="0" borderId="5" xfId="0" applyFont="1" applyBorder="1" applyAlignment="1" applyProtection="1">
      <alignment horizontal="center"/>
      <protection hidden="1"/>
    </xf>
    <xf numFmtId="0" fontId="0" fillId="0" borderId="0" xfId="0" applyAlignment="1">
      <alignment vertical="center"/>
    </xf>
    <xf numFmtId="0" fontId="14" fillId="0" borderId="5" xfId="1" applyNumberFormat="1" applyFont="1" applyFill="1" applyBorder="1" applyAlignment="1">
      <alignment horizontal="center"/>
    </xf>
    <xf numFmtId="165" fontId="7" fillId="6" borderId="15" xfId="0" applyNumberFormat="1" applyFont="1" applyFill="1" applyBorder="1" applyAlignment="1">
      <alignment horizontal="center"/>
    </xf>
    <xf numFmtId="165" fontId="10" fillId="0" borderId="15" xfId="0" applyNumberFormat="1" applyFont="1" applyBorder="1" applyAlignment="1">
      <alignment horizontal="center"/>
    </xf>
    <xf numFmtId="165" fontId="10" fillId="6" borderId="15" xfId="0" applyNumberFormat="1" applyFont="1" applyFill="1" applyBorder="1" applyAlignment="1">
      <alignment horizontal="center"/>
    </xf>
    <xf numFmtId="0" fontId="12" fillId="0" borderId="5" xfId="1" applyNumberFormat="1" applyFont="1" applyFill="1" applyBorder="1" applyAlignment="1" applyProtection="1">
      <alignment horizontal="center"/>
      <protection hidden="1"/>
    </xf>
    <xf numFmtId="0" fontId="23" fillId="0" borderId="0" xfId="0" applyFont="1" applyAlignment="1">
      <alignment vertical="center"/>
    </xf>
    <xf numFmtId="165" fontId="8" fillId="4" borderId="5" xfId="1" applyNumberFormat="1" applyFont="1" applyFill="1" applyBorder="1" applyAlignment="1">
      <alignment horizontal="center"/>
    </xf>
    <xf numFmtId="0" fontId="15" fillId="4" borderId="2" xfId="1" applyNumberFormat="1" applyFont="1" applyFill="1" applyBorder="1" applyAlignment="1">
      <alignment horizontal="center"/>
    </xf>
    <xf numFmtId="0" fontId="8" fillId="4" borderId="2" xfId="1" applyNumberFormat="1" applyFont="1" applyFill="1" applyBorder="1" applyAlignment="1">
      <alignment horizontal="center"/>
    </xf>
    <xf numFmtId="164" fontId="8" fillId="4" borderId="2" xfId="1" applyNumberFormat="1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8" fillId="4" borderId="5" xfId="1" applyNumberFormat="1" applyFont="1" applyFill="1" applyBorder="1" applyAlignment="1">
      <alignment horizontal="center"/>
    </xf>
    <xf numFmtId="1" fontId="8" fillId="4" borderId="5" xfId="1" applyNumberFormat="1" applyFont="1" applyFill="1" applyBorder="1" applyAlignment="1">
      <alignment horizontal="center"/>
    </xf>
    <xf numFmtId="1" fontId="7" fillId="4" borderId="5" xfId="0" applyNumberFormat="1" applyFont="1" applyFill="1" applyBorder="1" applyAlignment="1">
      <alignment horizontal="center"/>
    </xf>
    <xf numFmtId="0" fontId="15" fillId="4" borderId="1" xfId="2" applyFont="1" applyFill="1" applyBorder="1" applyAlignment="1">
      <alignment horizontal="center"/>
    </xf>
    <xf numFmtId="0" fontId="15" fillId="4" borderId="27" xfId="2" applyFont="1" applyFill="1" applyBorder="1" applyAlignment="1">
      <alignment horizontal="center"/>
    </xf>
    <xf numFmtId="0" fontId="15" fillId="4" borderId="28" xfId="1" applyNumberFormat="1" applyFont="1" applyFill="1" applyBorder="1" applyAlignment="1">
      <alignment horizontal="center"/>
    </xf>
    <xf numFmtId="0" fontId="8" fillId="4" borderId="28" xfId="1" applyNumberFormat="1" applyFont="1" applyFill="1" applyBorder="1" applyAlignment="1">
      <alignment horizontal="center"/>
    </xf>
    <xf numFmtId="164" fontId="8" fillId="4" borderId="28" xfId="1" applyNumberFormat="1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165" fontId="8" fillId="4" borderId="23" xfId="1" applyNumberFormat="1" applyFont="1" applyFill="1" applyBorder="1" applyAlignment="1">
      <alignment horizontal="center"/>
    </xf>
    <xf numFmtId="164" fontId="12" fillId="4" borderId="24" xfId="1" applyNumberFormat="1" applyFont="1" applyFill="1" applyBorder="1" applyAlignment="1">
      <alignment horizontal="center"/>
    </xf>
    <xf numFmtId="165" fontId="8" fillId="4" borderId="4" xfId="1" applyNumberFormat="1" applyFont="1" applyFill="1" applyBorder="1" applyAlignment="1">
      <alignment horizontal="center"/>
    </xf>
    <xf numFmtId="165" fontId="8" fillId="4" borderId="29" xfId="1" applyNumberFormat="1" applyFont="1" applyFill="1" applyBorder="1" applyAlignment="1">
      <alignment horizontal="center"/>
    </xf>
    <xf numFmtId="0" fontId="0" fillId="4" borderId="0" xfId="0" applyFill="1" applyBorder="1"/>
    <xf numFmtId="165" fontId="8" fillId="4" borderId="22" xfId="1" applyNumberFormat="1" applyFont="1" applyFill="1" applyBorder="1" applyAlignment="1">
      <alignment horizontal="center"/>
    </xf>
    <xf numFmtId="1" fontId="7" fillId="4" borderId="23" xfId="0" applyNumberFormat="1" applyFont="1" applyFill="1" applyBorder="1" applyAlignment="1">
      <alignment horizontal="center"/>
    </xf>
    <xf numFmtId="1" fontId="8" fillId="4" borderId="23" xfId="1" applyNumberFormat="1" applyFont="1" applyFill="1" applyBorder="1" applyAlignment="1">
      <alignment horizontal="center"/>
    </xf>
    <xf numFmtId="0" fontId="5" fillId="3" borderId="21" xfId="1" applyNumberFormat="1" applyFont="1" applyFill="1" applyBorder="1" applyAlignment="1">
      <alignment horizontal="center"/>
    </xf>
    <xf numFmtId="165" fontId="8" fillId="4" borderId="30" xfId="1" applyNumberFormat="1" applyFont="1" applyFill="1" applyBorder="1" applyAlignment="1">
      <alignment horizontal="center"/>
    </xf>
    <xf numFmtId="0" fontId="8" fillId="4" borderId="9" xfId="1" applyNumberFormat="1" applyFont="1" applyFill="1" applyBorder="1" applyAlignment="1">
      <alignment horizontal="center"/>
    </xf>
    <xf numFmtId="1" fontId="8" fillId="4" borderId="9" xfId="1" applyNumberFormat="1" applyFont="1" applyFill="1" applyBorder="1" applyAlignment="1">
      <alignment horizontal="center"/>
    </xf>
    <xf numFmtId="165" fontId="8" fillId="4" borderId="9" xfId="1" applyNumberFormat="1" applyFont="1" applyFill="1" applyBorder="1" applyAlignment="1">
      <alignment horizontal="center"/>
    </xf>
    <xf numFmtId="0" fontId="15" fillId="4" borderId="29" xfId="2" applyFont="1" applyFill="1" applyBorder="1" applyAlignment="1">
      <alignment horizontal="center"/>
    </xf>
    <xf numFmtId="0" fontId="15" fillId="4" borderId="16" xfId="1" applyNumberFormat="1" applyFont="1" applyFill="1" applyBorder="1" applyAlignment="1">
      <alignment horizontal="center"/>
    </xf>
    <xf numFmtId="164" fontId="8" fillId="4" borderId="16" xfId="1" applyNumberFormat="1" applyFont="1" applyFill="1" applyBorder="1" applyAlignment="1">
      <alignment horizontal="center"/>
    </xf>
    <xf numFmtId="164" fontId="7" fillId="4" borderId="30" xfId="0" applyNumberFormat="1" applyFont="1" applyFill="1" applyBorder="1" applyAlignment="1">
      <alignment horizontal="center"/>
    </xf>
    <xf numFmtId="164" fontId="7" fillId="4" borderId="4" xfId="0" applyNumberFormat="1" applyFont="1" applyFill="1" applyBorder="1" applyAlignment="1">
      <alignment horizontal="center"/>
    </xf>
    <xf numFmtId="164" fontId="7" fillId="4" borderId="22" xfId="0" applyNumberFormat="1" applyFont="1" applyFill="1" applyBorder="1" applyAlignment="1">
      <alignment horizontal="center"/>
    </xf>
    <xf numFmtId="164" fontId="12" fillId="4" borderId="6" xfId="1" applyNumberFormat="1" applyFont="1" applyFill="1" applyBorder="1" applyAlignment="1">
      <alignment horizontal="center"/>
    </xf>
    <xf numFmtId="165" fontId="8" fillId="4" borderId="11" xfId="1" applyNumberFormat="1" applyFont="1" applyFill="1" applyBorder="1" applyAlignment="1">
      <alignment horizontal="center"/>
    </xf>
    <xf numFmtId="165" fontId="8" fillId="4" borderId="10" xfId="1" applyNumberFormat="1" applyFont="1" applyFill="1" applyBorder="1" applyAlignment="1">
      <alignment horizontal="center"/>
    </xf>
    <xf numFmtId="165" fontId="8" fillId="4" borderId="38" xfId="1" applyNumberFormat="1" applyFont="1" applyFill="1" applyBorder="1" applyAlignment="1">
      <alignment horizontal="center"/>
    </xf>
    <xf numFmtId="165" fontId="7" fillId="8" borderId="1" xfId="1" applyNumberFormat="1" applyFont="1" applyFill="1" applyBorder="1" applyAlignment="1">
      <alignment horizontal="center"/>
    </xf>
    <xf numFmtId="164" fontId="14" fillId="4" borderId="2" xfId="1" applyNumberFormat="1" applyFont="1" applyFill="1" applyBorder="1" applyAlignment="1">
      <alignment horizontal="center"/>
    </xf>
    <xf numFmtId="164" fontId="12" fillId="4" borderId="3" xfId="1" applyNumberFormat="1" applyFont="1" applyFill="1" applyBorder="1" applyAlignment="1">
      <alignment horizontal="center"/>
    </xf>
    <xf numFmtId="165" fontId="7" fillId="8" borderId="30" xfId="1" applyNumberFormat="1" applyFont="1" applyFill="1" applyBorder="1" applyAlignment="1">
      <alignment horizontal="center"/>
    </xf>
    <xf numFmtId="165" fontId="7" fillId="8" borderId="39" xfId="1" applyNumberFormat="1" applyFont="1" applyFill="1" applyBorder="1" applyAlignment="1">
      <alignment horizontal="center"/>
    </xf>
    <xf numFmtId="0" fontId="12" fillId="3" borderId="43" xfId="0" applyFont="1" applyFill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7" fillId="0" borderId="45" xfId="0" applyFont="1" applyBorder="1" applyAlignment="1" applyProtection="1">
      <alignment horizontal="center"/>
      <protection hidden="1"/>
    </xf>
    <xf numFmtId="165" fontId="8" fillId="8" borderId="9" xfId="1" applyNumberFormat="1" applyFont="1" applyFill="1" applyBorder="1" applyAlignment="1">
      <alignment horizontal="center"/>
    </xf>
    <xf numFmtId="9" fontId="12" fillId="0" borderId="17" xfId="1" applyNumberFormat="1" applyFont="1" applyFill="1" applyBorder="1" applyAlignment="1">
      <alignment horizontal="center"/>
    </xf>
    <xf numFmtId="165" fontId="28" fillId="3" borderId="17" xfId="1" applyNumberFormat="1" applyFont="1" applyFill="1" applyBorder="1" applyAlignment="1"/>
    <xf numFmtId="164" fontId="10" fillId="7" borderId="14" xfId="0" applyNumberFormat="1" applyFont="1" applyFill="1" applyBorder="1" applyAlignment="1"/>
    <xf numFmtId="164" fontId="7" fillId="0" borderId="34" xfId="0" applyNumberFormat="1" applyFont="1" applyBorder="1" applyAlignment="1">
      <alignment horizontal="center"/>
    </xf>
    <xf numFmtId="9" fontId="12" fillId="4" borderId="14" xfId="0" applyNumberFormat="1" applyFont="1" applyFill="1" applyBorder="1" applyAlignment="1">
      <alignment horizontal="center"/>
    </xf>
    <xf numFmtId="2" fontId="14" fillId="4" borderId="9" xfId="1" applyNumberFormat="1" applyFont="1" applyFill="1" applyBorder="1" applyAlignment="1">
      <alignment horizontal="center"/>
    </xf>
    <xf numFmtId="2" fontId="12" fillId="4" borderId="31" xfId="1" applyNumberFormat="1" applyFont="1" applyFill="1" applyBorder="1" applyAlignment="1">
      <alignment horizontal="center"/>
    </xf>
    <xf numFmtId="165" fontId="8" fillId="8" borderId="18" xfId="1" applyNumberFormat="1" applyFont="1" applyFill="1" applyBorder="1" applyAlignment="1">
      <alignment horizontal="center"/>
    </xf>
    <xf numFmtId="165" fontId="7" fillId="0" borderId="9" xfId="1" applyNumberFormat="1" applyFont="1" applyFill="1" applyBorder="1" applyAlignment="1">
      <alignment horizontal="center"/>
    </xf>
    <xf numFmtId="165" fontId="7" fillId="0" borderId="5" xfId="1" applyNumberFormat="1" applyFont="1" applyFill="1" applyBorder="1" applyAlignment="1">
      <alignment horizontal="center"/>
    </xf>
    <xf numFmtId="165" fontId="7" fillId="0" borderId="23" xfId="1" applyNumberFormat="1" applyFont="1" applyFill="1" applyBorder="1" applyAlignment="1">
      <alignment horizontal="center"/>
    </xf>
    <xf numFmtId="2" fontId="12" fillId="0" borderId="18" xfId="0" applyNumberFormat="1" applyFont="1" applyFill="1" applyBorder="1" applyAlignment="1">
      <alignment horizontal="center"/>
    </xf>
    <xf numFmtId="165" fontId="15" fillId="8" borderId="9" xfId="0" applyNumberFormat="1" applyFont="1" applyFill="1" applyBorder="1" applyAlignment="1">
      <alignment horizontal="center"/>
    </xf>
    <xf numFmtId="164" fontId="12" fillId="0" borderId="31" xfId="0" applyNumberFormat="1" applyFont="1" applyFill="1" applyBorder="1" applyAlignment="1">
      <alignment horizontal="center"/>
    </xf>
    <xf numFmtId="0" fontId="15" fillId="8" borderId="31" xfId="0" applyNumberFormat="1" applyFont="1" applyFill="1" applyBorder="1" applyAlignment="1">
      <alignment horizontal="center"/>
    </xf>
    <xf numFmtId="164" fontId="7" fillId="8" borderId="35" xfId="0" applyNumberFormat="1" applyFont="1" applyFill="1" applyBorder="1" applyAlignment="1">
      <alignment horizontal="center"/>
    </xf>
    <xf numFmtId="9" fontId="12" fillId="5" borderId="40" xfId="0" applyNumberFormat="1" applyFont="1" applyFill="1" applyBorder="1" applyAlignment="1">
      <alignment horizontal="center"/>
    </xf>
    <xf numFmtId="165" fontId="8" fillId="0" borderId="5" xfId="1" applyNumberFormat="1" applyFont="1" applyFill="1" applyBorder="1" applyAlignment="1">
      <alignment horizontal="center"/>
    </xf>
    <xf numFmtId="165" fontId="15" fillId="0" borderId="5" xfId="2" applyNumberFormat="1" applyFont="1" applyFill="1" applyBorder="1" applyAlignment="1">
      <alignment horizontal="center"/>
    </xf>
    <xf numFmtId="0" fontId="15" fillId="0" borderId="5" xfId="2" applyFont="1" applyFill="1" applyBorder="1" applyAlignment="1">
      <alignment horizontal="center"/>
    </xf>
    <xf numFmtId="0" fontId="7" fillId="0" borderId="5" xfId="1" applyNumberFormat="1" applyFont="1" applyFill="1" applyBorder="1" applyAlignment="1">
      <alignment horizontal="center"/>
    </xf>
    <xf numFmtId="164" fontId="12" fillId="0" borderId="5" xfId="2" applyNumberFormat="1" applyFont="1" applyFill="1" applyBorder="1" applyAlignment="1">
      <alignment horizontal="center"/>
    </xf>
    <xf numFmtId="165" fontId="8" fillId="0" borderId="16" xfId="1" applyNumberFormat="1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11" fillId="0" borderId="10" xfId="1" applyNumberFormat="1" applyFont="1" applyFill="1" applyBorder="1" applyAlignment="1"/>
    <xf numFmtId="0" fontId="11" fillId="0" borderId="19" xfId="1" applyNumberFormat="1" applyFont="1" applyFill="1" applyBorder="1" applyAlignment="1"/>
    <xf numFmtId="0" fontId="1" fillId="0" borderId="11" xfId="0" applyFont="1" applyBorder="1"/>
    <xf numFmtId="165" fontId="8" fillId="4" borderId="48" xfId="1" applyNumberFormat="1" applyFont="1" applyFill="1" applyBorder="1" applyAlignment="1">
      <alignment horizontal="center"/>
    </xf>
    <xf numFmtId="0" fontId="7" fillId="4" borderId="49" xfId="0" applyFont="1" applyFill="1" applyBorder="1" applyAlignment="1">
      <alignment horizontal="center"/>
    </xf>
    <xf numFmtId="0" fontId="7" fillId="4" borderId="50" xfId="0" applyFont="1" applyFill="1" applyBorder="1" applyAlignment="1">
      <alignment horizontal="center"/>
    </xf>
    <xf numFmtId="0" fontId="15" fillId="4" borderId="5" xfId="1" applyNumberFormat="1" applyFont="1" applyFill="1" applyBorder="1" applyAlignment="1">
      <alignment horizontal="center"/>
    </xf>
    <xf numFmtId="164" fontId="8" fillId="4" borderId="5" xfId="1" applyNumberFormat="1" applyFont="1" applyFill="1" applyBorder="1" applyAlignment="1">
      <alignment horizontal="center"/>
    </xf>
    <xf numFmtId="0" fontId="15" fillId="4" borderId="49" xfId="1" applyNumberFormat="1" applyFont="1" applyFill="1" applyBorder="1" applyAlignment="1">
      <alignment horizontal="center"/>
    </xf>
    <xf numFmtId="0" fontId="15" fillId="4" borderId="53" xfId="2" applyFont="1" applyFill="1" applyBorder="1" applyAlignment="1">
      <alignment horizontal="center"/>
    </xf>
    <xf numFmtId="0" fontId="15" fillId="4" borderId="54" xfId="2" applyFont="1" applyFill="1" applyBorder="1" applyAlignment="1">
      <alignment horizontal="center"/>
    </xf>
    <xf numFmtId="0" fontId="15" fillId="4" borderId="55" xfId="2" applyFont="1" applyFill="1" applyBorder="1" applyAlignment="1">
      <alignment horizontal="center"/>
    </xf>
    <xf numFmtId="0" fontId="15" fillId="4" borderId="64" xfId="2" applyFont="1" applyFill="1" applyBorder="1" applyAlignment="1">
      <alignment horizontal="center"/>
    </xf>
    <xf numFmtId="0" fontId="15" fillId="4" borderId="25" xfId="2" applyFont="1" applyFill="1" applyBorder="1" applyAlignment="1">
      <alignment horizontal="center"/>
    </xf>
    <xf numFmtId="0" fontId="15" fillId="4" borderId="23" xfId="1" applyNumberFormat="1" applyFont="1" applyFill="1" applyBorder="1" applyAlignment="1">
      <alignment horizontal="center"/>
    </xf>
    <xf numFmtId="0" fontId="8" fillId="4" borderId="23" xfId="1" applyNumberFormat="1" applyFont="1" applyFill="1" applyBorder="1" applyAlignment="1">
      <alignment horizontal="center"/>
    </xf>
    <xf numFmtId="164" fontId="8" fillId="4" borderId="23" xfId="1" applyNumberFormat="1" applyFont="1" applyFill="1" applyBorder="1" applyAlignment="1">
      <alignment horizontal="center"/>
    </xf>
    <xf numFmtId="164" fontId="14" fillId="4" borderId="28" xfId="1" applyNumberFormat="1" applyFont="1" applyFill="1" applyBorder="1" applyAlignment="1">
      <alignment horizontal="center"/>
    </xf>
    <xf numFmtId="164" fontId="12" fillId="0" borderId="10" xfId="1" applyNumberFormat="1" applyFont="1" applyFill="1" applyBorder="1" applyAlignment="1">
      <alignment horizontal="center"/>
    </xf>
    <xf numFmtId="0" fontId="12" fillId="0" borderId="10" xfId="1" applyNumberFormat="1" applyFont="1" applyFill="1" applyBorder="1" applyAlignment="1" applyProtection="1">
      <alignment horizontal="center"/>
      <protection hidden="1"/>
    </xf>
    <xf numFmtId="0" fontId="13" fillId="0" borderId="49" xfId="1" applyNumberFormat="1" applyFont="1" applyFill="1" applyBorder="1" applyAlignment="1">
      <alignment horizontal="center"/>
    </xf>
    <xf numFmtId="165" fontId="8" fillId="0" borderId="49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1" applyNumberFormat="1" applyFont="1" applyFill="1" applyBorder="1" applyAlignment="1">
      <alignment horizontal="center"/>
    </xf>
    <xf numFmtId="9" fontId="12" fillId="0" borderId="5" xfId="1" applyNumberFormat="1" applyFont="1" applyFill="1" applyBorder="1" applyAlignment="1">
      <alignment horizontal="center"/>
    </xf>
    <xf numFmtId="0" fontId="9" fillId="3" borderId="5" xfId="1" applyNumberFormat="1" applyFont="1" applyFill="1" applyBorder="1" applyAlignment="1">
      <alignment horizontal="center"/>
    </xf>
    <xf numFmtId="0" fontId="18" fillId="4" borderId="59" xfId="1" applyNumberFormat="1" applyFont="1" applyFill="1" applyBorder="1" applyAlignment="1">
      <alignment horizontal="center"/>
    </xf>
    <xf numFmtId="0" fontId="18" fillId="4" borderId="13" xfId="1" applyNumberFormat="1" applyFont="1" applyFill="1" applyBorder="1" applyAlignment="1">
      <alignment horizontal="center"/>
    </xf>
    <xf numFmtId="0" fontId="18" fillId="4" borderId="60" xfId="1" applyNumberFormat="1" applyFont="1" applyFill="1" applyBorder="1" applyAlignment="1">
      <alignment horizontal="center"/>
    </xf>
    <xf numFmtId="0" fontId="18" fillId="4" borderId="61" xfId="1" applyNumberFormat="1" applyFont="1" applyFill="1" applyBorder="1" applyAlignment="1">
      <alignment horizontal="center"/>
    </xf>
    <xf numFmtId="0" fontId="18" fillId="4" borderId="62" xfId="1" applyNumberFormat="1" applyFont="1" applyFill="1" applyBorder="1" applyAlignment="1">
      <alignment horizontal="center"/>
    </xf>
    <xf numFmtId="0" fontId="18" fillId="4" borderId="63" xfId="1" applyNumberFormat="1" applyFont="1" applyFill="1" applyBorder="1" applyAlignment="1">
      <alignment horizontal="center"/>
    </xf>
    <xf numFmtId="0" fontId="26" fillId="7" borderId="33" xfId="0" applyFont="1" applyFill="1" applyBorder="1" applyAlignment="1">
      <alignment horizontal="center"/>
    </xf>
    <xf numFmtId="0" fontId="26" fillId="7" borderId="20" xfId="0" applyFont="1" applyFill="1" applyBorder="1" applyAlignment="1">
      <alignment horizontal="center"/>
    </xf>
    <xf numFmtId="0" fontId="26" fillId="7" borderId="25" xfId="0" applyFont="1" applyFill="1" applyBorder="1" applyAlignment="1">
      <alignment horizontal="center"/>
    </xf>
    <xf numFmtId="0" fontId="26" fillId="7" borderId="26" xfId="0" applyFont="1" applyFill="1" applyBorder="1" applyAlignment="1">
      <alignment horizontal="center"/>
    </xf>
    <xf numFmtId="0" fontId="26" fillId="7" borderId="17" xfId="0" applyFont="1" applyFill="1" applyBorder="1" applyAlignment="1">
      <alignment horizontal="center"/>
    </xf>
    <xf numFmtId="0" fontId="15" fillId="8" borderId="59" xfId="1" applyNumberFormat="1" applyFont="1" applyFill="1" applyBorder="1" applyAlignment="1">
      <alignment horizontal="center"/>
    </xf>
    <xf numFmtId="0" fontId="15" fillId="8" borderId="13" xfId="1" applyNumberFormat="1" applyFont="1" applyFill="1" applyBorder="1" applyAlignment="1">
      <alignment horizontal="center"/>
    </xf>
    <xf numFmtId="0" fontId="18" fillId="4" borderId="56" xfId="1" applyNumberFormat="1" applyFont="1" applyFill="1" applyBorder="1" applyAlignment="1">
      <alignment horizontal="center"/>
    </xf>
    <xf numFmtId="0" fontId="18" fillId="4" borderId="57" xfId="1" applyNumberFormat="1" applyFont="1" applyFill="1" applyBorder="1" applyAlignment="1">
      <alignment horizontal="center"/>
    </xf>
    <xf numFmtId="0" fontId="18" fillId="4" borderId="58" xfId="1" applyNumberFormat="1" applyFont="1" applyFill="1" applyBorder="1" applyAlignment="1">
      <alignment horizontal="center"/>
    </xf>
    <xf numFmtId="165" fontId="28" fillId="3" borderId="25" xfId="1" applyNumberFormat="1" applyFont="1" applyFill="1" applyBorder="1" applyAlignment="1">
      <alignment horizontal="center"/>
    </xf>
    <xf numFmtId="165" fontId="28" fillId="3" borderId="26" xfId="1" applyNumberFormat="1" applyFont="1" applyFill="1" applyBorder="1" applyAlignment="1">
      <alignment horizontal="center"/>
    </xf>
    <xf numFmtId="165" fontId="28" fillId="3" borderId="17" xfId="1" applyNumberFormat="1" applyFont="1" applyFill="1" applyBorder="1" applyAlignment="1">
      <alignment horizontal="center"/>
    </xf>
    <xf numFmtId="9" fontId="12" fillId="0" borderId="25" xfId="1" applyNumberFormat="1" applyFont="1" applyFill="1" applyBorder="1" applyAlignment="1">
      <alignment horizontal="center"/>
    </xf>
    <xf numFmtId="9" fontId="12" fillId="0" borderId="26" xfId="1" applyNumberFormat="1" applyFont="1" applyFill="1" applyBorder="1" applyAlignment="1">
      <alignment horizontal="center"/>
    </xf>
    <xf numFmtId="9" fontId="12" fillId="0" borderId="17" xfId="1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9" fillId="3" borderId="27" xfId="1" applyNumberFormat="1" applyFont="1" applyFill="1" applyBorder="1" applyAlignment="1">
      <alignment horizontal="center"/>
    </xf>
    <xf numFmtId="0" fontId="9" fillId="3" borderId="28" xfId="1" applyNumberFormat="1" applyFont="1" applyFill="1" applyBorder="1" applyAlignment="1">
      <alignment horizontal="center"/>
    </xf>
    <xf numFmtId="0" fontId="9" fillId="3" borderId="32" xfId="1" applyNumberFormat="1" applyFont="1" applyFill="1" applyBorder="1" applyAlignment="1">
      <alignment horizontal="center"/>
    </xf>
    <xf numFmtId="0" fontId="27" fillId="3" borderId="27" xfId="1" applyNumberFormat="1" applyFont="1" applyFill="1" applyBorder="1" applyAlignment="1">
      <alignment horizontal="center"/>
    </xf>
    <xf numFmtId="9" fontId="12" fillId="0" borderId="30" xfId="1" applyNumberFormat="1" applyFont="1" applyFill="1" applyBorder="1" applyAlignment="1">
      <alignment horizontal="center"/>
    </xf>
    <xf numFmtId="0" fontId="12" fillId="0" borderId="9" xfId="1" applyNumberFormat="1" applyFont="1" applyFill="1" applyBorder="1" applyAlignment="1">
      <alignment horizontal="center"/>
    </xf>
    <xf numFmtId="0" fontId="12" fillId="0" borderId="11" xfId="1" applyNumberFormat="1" applyFont="1" applyFill="1" applyBorder="1" applyAlignment="1">
      <alignment horizontal="center"/>
    </xf>
    <xf numFmtId="9" fontId="12" fillId="4" borderId="27" xfId="1" applyNumberFormat="1" applyFont="1" applyFill="1" applyBorder="1" applyAlignment="1">
      <alignment horizontal="center"/>
    </xf>
    <xf numFmtId="0" fontId="12" fillId="4" borderId="28" xfId="1" applyNumberFormat="1" applyFont="1" applyFill="1" applyBorder="1" applyAlignment="1">
      <alignment horizontal="center"/>
    </xf>
    <xf numFmtId="0" fontId="12" fillId="4" borderId="36" xfId="1" applyNumberFormat="1" applyFont="1" applyFill="1" applyBorder="1" applyAlignment="1">
      <alignment horizontal="center"/>
    </xf>
    <xf numFmtId="0" fontId="12" fillId="4" borderId="37" xfId="1" applyNumberFormat="1" applyFont="1" applyFill="1" applyBorder="1" applyAlignment="1">
      <alignment horizontal="center"/>
    </xf>
    <xf numFmtId="0" fontId="10" fillId="7" borderId="25" xfId="0" applyFont="1" applyFill="1" applyBorder="1" applyAlignment="1">
      <alignment horizontal="center"/>
    </xf>
    <xf numFmtId="0" fontId="10" fillId="7" borderId="26" xfId="0" applyFont="1" applyFill="1" applyBorder="1" applyAlignment="1">
      <alignment horizontal="center"/>
    </xf>
    <xf numFmtId="0" fontId="10" fillId="7" borderId="17" xfId="0" applyFont="1" applyFill="1" applyBorder="1" applyAlignment="1">
      <alignment horizontal="center"/>
    </xf>
    <xf numFmtId="49" fontId="12" fillId="0" borderId="25" xfId="1" applyNumberFormat="1" applyFont="1" applyFill="1" applyBorder="1" applyAlignment="1">
      <alignment horizontal="center"/>
    </xf>
    <xf numFmtId="49" fontId="12" fillId="0" borderId="26" xfId="1" applyNumberFormat="1" applyFont="1" applyFill="1" applyBorder="1" applyAlignment="1">
      <alignment horizontal="center"/>
    </xf>
    <xf numFmtId="49" fontId="12" fillId="0" borderId="17" xfId="1" applyNumberFormat="1" applyFont="1" applyFill="1" applyBorder="1" applyAlignment="1">
      <alignment horizontal="center"/>
    </xf>
    <xf numFmtId="164" fontId="10" fillId="7" borderId="26" xfId="0" applyNumberFormat="1" applyFont="1" applyFill="1" applyBorder="1" applyAlignment="1">
      <alignment horizontal="center"/>
    </xf>
    <xf numFmtId="164" fontId="10" fillId="7" borderId="17" xfId="0" applyNumberFormat="1" applyFont="1" applyFill="1" applyBorder="1" applyAlignment="1">
      <alignment horizontal="center"/>
    </xf>
    <xf numFmtId="9" fontId="12" fillId="4" borderId="26" xfId="0" applyNumberFormat="1" applyFont="1" applyFill="1" applyBorder="1" applyAlignment="1">
      <alignment horizontal="center"/>
    </xf>
    <xf numFmtId="9" fontId="12" fillId="4" borderId="17" xfId="0" applyNumberFormat="1" applyFont="1" applyFill="1" applyBorder="1" applyAlignment="1">
      <alignment horizontal="center"/>
    </xf>
    <xf numFmtId="0" fontId="18" fillId="4" borderId="4" xfId="1" applyNumberFormat="1" applyFont="1" applyFill="1" applyBorder="1" applyAlignment="1">
      <alignment horizontal="center"/>
    </xf>
    <xf numFmtId="0" fontId="18" fillId="4" borderId="5" xfId="1" applyNumberFormat="1" applyFont="1" applyFill="1" applyBorder="1" applyAlignment="1">
      <alignment horizontal="center"/>
    </xf>
    <xf numFmtId="0" fontId="18" fillId="4" borderId="10" xfId="1" applyNumberFormat="1" applyFont="1" applyFill="1" applyBorder="1" applyAlignment="1">
      <alignment horizontal="center"/>
    </xf>
    <xf numFmtId="9" fontId="12" fillId="0" borderId="16" xfId="1" applyNumberFormat="1" applyFont="1" applyFill="1" applyBorder="1" applyAlignment="1">
      <alignment horizontal="center"/>
    </xf>
    <xf numFmtId="0" fontId="12" fillId="0" borderId="16" xfId="1" applyNumberFormat="1" applyFont="1" applyFill="1" applyBorder="1" applyAlignment="1">
      <alignment horizontal="center"/>
    </xf>
    <xf numFmtId="9" fontId="12" fillId="4" borderId="46" xfId="1" applyNumberFormat="1" applyFont="1" applyFill="1" applyBorder="1" applyAlignment="1">
      <alignment horizontal="center"/>
    </xf>
    <xf numFmtId="0" fontId="12" fillId="4" borderId="16" xfId="1" applyNumberFormat="1" applyFont="1" applyFill="1" applyBorder="1" applyAlignment="1">
      <alignment horizontal="center"/>
    </xf>
    <xf numFmtId="0" fontId="12" fillId="4" borderId="51" xfId="1" applyNumberFormat="1" applyFont="1" applyFill="1" applyBorder="1" applyAlignment="1">
      <alignment horizontal="center"/>
    </xf>
    <xf numFmtId="0" fontId="12" fillId="4" borderId="52" xfId="1" applyNumberFormat="1" applyFont="1" applyFill="1" applyBorder="1" applyAlignment="1">
      <alignment horizontal="center"/>
    </xf>
    <xf numFmtId="0" fontId="15" fillId="8" borderId="1" xfId="1" applyNumberFormat="1" applyFont="1" applyFill="1" applyBorder="1" applyAlignment="1">
      <alignment horizontal="center"/>
    </xf>
    <xf numFmtId="0" fontId="15" fillId="8" borderId="2" xfId="1" applyNumberFormat="1" applyFont="1" applyFill="1" applyBorder="1" applyAlignment="1">
      <alignment horizontal="center"/>
    </xf>
    <xf numFmtId="0" fontId="15" fillId="8" borderId="21" xfId="1" applyNumberFormat="1" applyFont="1" applyFill="1" applyBorder="1" applyAlignment="1">
      <alignment horizontal="center"/>
    </xf>
    <xf numFmtId="0" fontId="26" fillId="7" borderId="47" xfId="0" applyFont="1" applyFill="1" applyBorder="1" applyAlignment="1">
      <alignment horizontal="center"/>
    </xf>
    <xf numFmtId="0" fontId="26" fillId="7" borderId="0" xfId="0" applyFont="1" applyFill="1" applyBorder="1" applyAlignment="1">
      <alignment horizontal="center"/>
    </xf>
    <xf numFmtId="9" fontId="12" fillId="0" borderId="9" xfId="1" applyNumberFormat="1" applyFont="1" applyFill="1" applyBorder="1" applyAlignment="1">
      <alignment horizontal="center"/>
    </xf>
    <xf numFmtId="0" fontId="6" fillId="0" borderId="53" xfId="1" applyNumberFormat="1" applyFont="1" applyFill="1" applyBorder="1" applyAlignment="1">
      <alignment horizontal="center"/>
    </xf>
    <xf numFmtId="165" fontId="24" fillId="0" borderId="54" xfId="1" applyNumberFormat="1" applyFont="1" applyFill="1" applyBorder="1" applyAlignment="1">
      <alignment horizontal="center"/>
    </xf>
    <xf numFmtId="0" fontId="6" fillId="0" borderId="54" xfId="1" applyNumberFormat="1" applyFont="1" applyFill="1" applyBorder="1" applyAlignment="1"/>
    <xf numFmtId="0" fontId="6" fillId="0" borderId="55" xfId="1" applyNumberFormat="1" applyFont="1" applyFill="1" applyBorder="1" applyAlignment="1"/>
    <xf numFmtId="165" fontId="24" fillId="4" borderId="54" xfId="1" applyNumberFormat="1" applyFont="1" applyFill="1" applyBorder="1" applyAlignment="1">
      <alignment horizontal="center"/>
    </xf>
    <xf numFmtId="0" fontId="24" fillId="4" borderId="54" xfId="1" applyNumberFormat="1" applyFont="1" applyFill="1" applyBorder="1" applyAlignment="1"/>
    <xf numFmtId="0" fontId="24" fillId="4" borderId="55" xfId="1" applyNumberFormat="1" applyFont="1" applyFill="1" applyBorder="1" applyAlignment="1"/>
    <xf numFmtId="164" fontId="20" fillId="3" borderId="41" xfId="0" applyNumberFormat="1" applyFont="1" applyFill="1" applyBorder="1" applyAlignment="1">
      <alignment horizontal="center"/>
    </xf>
    <xf numFmtId="164" fontId="20" fillId="3" borderId="12" xfId="0" applyNumberFormat="1" applyFont="1" applyFill="1" applyBorder="1" applyAlignment="1">
      <alignment horizontal="center"/>
    </xf>
    <xf numFmtId="0" fontId="20" fillId="3" borderId="42" xfId="0" applyFont="1" applyFill="1" applyBorder="1" applyAlignment="1">
      <alignment horizontal="center"/>
    </xf>
    <xf numFmtId="0" fontId="15" fillId="3" borderId="43" xfId="0" applyFont="1" applyFill="1" applyBorder="1" applyAlignment="1">
      <alignment horizontal="center"/>
    </xf>
    <xf numFmtId="0" fontId="15" fillId="8" borderId="19" xfId="1" applyNumberFormat="1" applyFont="1" applyFill="1" applyBorder="1" applyAlignment="1">
      <alignment horizontal="center"/>
    </xf>
  </cellXfs>
  <cellStyles count="3">
    <cellStyle name="Normal" xfId="0" builtinId="0"/>
    <cellStyle name="Normal 3" xfId="2" xr:uid="{00000000-0005-0000-0000-000001000000}"/>
    <cellStyle name="Normal_Sheet1 2" xfId="1" xr:uid="{00000000-0005-0000-0000-000002000000}"/>
  </cellStyles>
  <dxfs count="13">
    <dxf>
      <font>
        <color rgb="FFFF0000"/>
      </font>
    </dxf>
    <dxf>
      <font>
        <b val="0"/>
        <i/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b val="0"/>
        <i/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b val="0"/>
        <i/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b val="0"/>
        <i/>
        <color rgb="FFFF0000"/>
      </font>
      <fill>
        <patternFill patternType="none">
          <bgColor auto="1"/>
        </patternFill>
      </fill>
    </dxf>
    <dxf>
      <font>
        <b val="0"/>
        <i/>
        <color rgb="FFFF0000"/>
      </font>
      <fill>
        <patternFill patternType="none">
          <bgColor auto="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72"/>
  <sheetViews>
    <sheetView zoomScale="84" zoomScaleNormal="84" workbookViewId="0">
      <pane xSplit="2" topLeftCell="C1" activePane="topRight" state="frozen"/>
      <selection pane="topRight" activeCell="U41" sqref="U41"/>
    </sheetView>
  </sheetViews>
  <sheetFormatPr defaultRowHeight="15" x14ac:dyDescent="0.25"/>
  <cols>
    <col min="1" max="1" width="5.5703125" customWidth="1"/>
    <col min="2" max="2" width="41.85546875" customWidth="1"/>
    <col min="3" max="4" width="8.42578125" customWidth="1"/>
    <col min="5" max="9" width="8.42578125" hidden="1" customWidth="1"/>
    <col min="10" max="15" width="8.42578125" customWidth="1"/>
    <col min="16" max="20" width="8.42578125" hidden="1" customWidth="1"/>
    <col min="21" max="23" width="8.42578125" customWidth="1"/>
    <col min="24" max="24" width="9.5703125" customWidth="1"/>
    <col min="25" max="28" width="8.42578125" customWidth="1"/>
    <col min="29" max="32" width="8.42578125" hidden="1" customWidth="1"/>
    <col min="33" max="40" width="8.42578125" customWidth="1"/>
  </cols>
  <sheetData>
    <row r="1" spans="1:41" x14ac:dyDescent="0.25">
      <c r="B1" s="16" t="s">
        <v>63</v>
      </c>
      <c r="C1" s="17"/>
    </row>
    <row r="2" spans="1:41" ht="15" customHeight="1" x14ac:dyDescent="0.25">
      <c r="B2" s="16" t="s">
        <v>64</v>
      </c>
      <c r="C2" s="17"/>
      <c r="F2" s="142" t="s">
        <v>10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</row>
    <row r="3" spans="1:41" ht="14.25" customHeight="1" x14ac:dyDescent="0.25">
      <c r="B3" s="16" t="s">
        <v>20</v>
      </c>
      <c r="C3" s="17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</row>
    <row r="4" spans="1:41" x14ac:dyDescent="0.25">
      <c r="B4" s="16" t="s">
        <v>21</v>
      </c>
      <c r="C4" s="17"/>
    </row>
    <row r="5" spans="1:41" x14ac:dyDescent="0.25">
      <c r="B5" s="16" t="s">
        <v>22</v>
      </c>
      <c r="C5" s="17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</row>
    <row r="6" spans="1:41" ht="15.75" thickBot="1" x14ac:dyDescent="0.3">
      <c r="A6" s="1"/>
      <c r="B6" s="2"/>
      <c r="C6" s="143" t="s">
        <v>11</v>
      </c>
      <c r="D6" s="143"/>
      <c r="E6" s="143"/>
      <c r="F6" s="143"/>
      <c r="G6" s="143"/>
      <c r="H6" s="143"/>
      <c r="I6" s="143"/>
      <c r="J6" s="143"/>
      <c r="K6" s="143"/>
      <c r="L6" s="143"/>
      <c r="M6" s="24"/>
      <c r="N6" s="143" t="s">
        <v>12</v>
      </c>
      <c r="O6" s="143"/>
      <c r="P6" s="143"/>
      <c r="Q6" s="143"/>
      <c r="R6" s="143"/>
      <c r="S6" s="143"/>
      <c r="T6" s="143"/>
      <c r="U6" s="143"/>
      <c r="V6" s="143"/>
      <c r="W6" s="143"/>
      <c r="X6" s="24"/>
      <c r="Y6" s="143" t="s">
        <v>13</v>
      </c>
      <c r="Z6" s="143"/>
      <c r="AA6" s="143"/>
      <c r="AB6" s="143"/>
      <c r="AC6" s="143"/>
      <c r="AD6" s="143"/>
      <c r="AE6" s="143"/>
      <c r="AF6" s="143"/>
      <c r="AG6" s="143"/>
      <c r="AH6" s="143"/>
      <c r="AI6" s="37"/>
      <c r="AJ6" s="35"/>
      <c r="AK6" s="36"/>
      <c r="AL6" s="37"/>
      <c r="AM6" s="37"/>
      <c r="AN6" s="37"/>
      <c r="AO6" s="35"/>
    </row>
    <row r="7" spans="1:41" x14ac:dyDescent="0.25">
      <c r="A7" s="3"/>
      <c r="B7" s="4" t="s">
        <v>0</v>
      </c>
      <c r="C7" s="145" t="s">
        <v>10</v>
      </c>
      <c r="D7" s="145"/>
      <c r="E7" s="145"/>
      <c r="F7" s="145"/>
      <c r="G7" s="145"/>
      <c r="H7" s="145"/>
      <c r="I7" s="145"/>
      <c r="J7" s="145"/>
      <c r="K7" s="145"/>
      <c r="L7" s="145"/>
      <c r="M7" s="24"/>
      <c r="N7" s="145" t="s">
        <v>10</v>
      </c>
      <c r="O7" s="145"/>
      <c r="P7" s="145"/>
      <c r="Q7" s="145"/>
      <c r="R7" s="145"/>
      <c r="S7" s="145"/>
      <c r="T7" s="145"/>
      <c r="U7" s="145"/>
      <c r="V7" s="145"/>
      <c r="W7" s="145"/>
      <c r="X7" s="24"/>
      <c r="Y7" s="145" t="s">
        <v>10</v>
      </c>
      <c r="Z7" s="145"/>
      <c r="AA7" s="145"/>
      <c r="AB7" s="145"/>
      <c r="AC7" s="145"/>
      <c r="AD7" s="145"/>
      <c r="AE7" s="145"/>
      <c r="AF7" s="145"/>
      <c r="AG7" s="145"/>
      <c r="AH7" s="145"/>
      <c r="AI7" s="38"/>
      <c r="AJ7" s="35"/>
      <c r="AK7" s="32"/>
      <c r="AL7" s="32"/>
      <c r="AM7" s="32"/>
      <c r="AN7" s="38"/>
      <c r="AO7" s="35"/>
    </row>
    <row r="8" spans="1:41" ht="15.75" thickBot="1" x14ac:dyDescent="0.3">
      <c r="A8" s="5"/>
      <c r="B8" s="6"/>
      <c r="C8" s="144">
        <v>0.05</v>
      </c>
      <c r="D8" s="144"/>
      <c r="E8" s="144"/>
      <c r="F8" s="144"/>
      <c r="G8" s="144"/>
      <c r="H8" s="144"/>
      <c r="I8" s="144"/>
      <c r="J8" s="144"/>
      <c r="K8" s="144"/>
      <c r="L8" s="144"/>
      <c r="M8" s="24"/>
      <c r="N8" s="144">
        <v>0.05</v>
      </c>
      <c r="O8" s="144"/>
      <c r="P8" s="144"/>
      <c r="Q8" s="144"/>
      <c r="R8" s="144"/>
      <c r="S8" s="144"/>
      <c r="T8" s="144"/>
      <c r="U8" s="144"/>
      <c r="V8" s="144"/>
      <c r="W8" s="144"/>
      <c r="X8" s="24"/>
      <c r="Y8" s="144">
        <v>0.05</v>
      </c>
      <c r="Z8" s="144"/>
      <c r="AA8" s="144"/>
      <c r="AB8" s="144"/>
      <c r="AC8" s="144"/>
      <c r="AD8" s="144"/>
      <c r="AE8" s="144"/>
      <c r="AF8" s="144"/>
      <c r="AG8" s="144"/>
      <c r="AH8" s="144"/>
      <c r="AI8" s="33"/>
      <c r="AJ8" s="35"/>
      <c r="AK8" s="32"/>
      <c r="AL8" s="32"/>
      <c r="AM8" s="32"/>
      <c r="AN8" s="33"/>
      <c r="AO8" s="35"/>
    </row>
    <row r="9" spans="1:41" ht="16.5" thickBot="1" x14ac:dyDescent="0.3">
      <c r="A9" s="7"/>
      <c r="B9" s="49"/>
      <c r="C9" s="25" t="s">
        <v>65</v>
      </c>
      <c r="D9" s="23" t="s">
        <v>66</v>
      </c>
      <c r="E9" s="12"/>
      <c r="F9" s="11"/>
      <c r="G9" s="26"/>
      <c r="H9" s="26"/>
      <c r="I9" s="27"/>
      <c r="J9" s="28" t="s">
        <v>67</v>
      </c>
      <c r="K9" s="44" t="s">
        <v>68</v>
      </c>
      <c r="L9" s="138" t="s">
        <v>69</v>
      </c>
      <c r="M9" s="205" t="s">
        <v>23</v>
      </c>
      <c r="N9" s="140" t="s">
        <v>65</v>
      </c>
      <c r="O9" s="23" t="s">
        <v>66</v>
      </c>
      <c r="P9" s="12"/>
      <c r="Q9" s="11"/>
      <c r="R9" s="26"/>
      <c r="S9" s="26"/>
      <c r="T9" s="27"/>
      <c r="U9" s="28" t="s">
        <v>67</v>
      </c>
      <c r="V9" s="29" t="s">
        <v>68</v>
      </c>
      <c r="W9" s="138" t="s">
        <v>69</v>
      </c>
      <c r="X9" s="205" t="s">
        <v>23</v>
      </c>
      <c r="Y9" s="140" t="s">
        <v>65</v>
      </c>
      <c r="Z9" s="23" t="s">
        <v>66</v>
      </c>
      <c r="AA9" s="12" t="s">
        <v>67</v>
      </c>
      <c r="AB9" s="11" t="s">
        <v>68</v>
      </c>
      <c r="AC9" s="26"/>
      <c r="AD9" s="26"/>
      <c r="AE9" s="27"/>
      <c r="AF9" s="28"/>
      <c r="AG9" s="29" t="s">
        <v>69</v>
      </c>
      <c r="AH9" s="30" t="s">
        <v>23</v>
      </c>
      <c r="AI9" s="33"/>
      <c r="AJ9" s="35"/>
      <c r="AK9" s="39"/>
      <c r="AL9" s="39"/>
      <c r="AM9" s="39"/>
      <c r="AN9" s="33"/>
      <c r="AO9" s="35"/>
    </row>
    <row r="10" spans="1:41" ht="15.75" x14ac:dyDescent="0.25">
      <c r="A10" s="10">
        <v>1</v>
      </c>
      <c r="B10" s="49" t="s">
        <v>24</v>
      </c>
      <c r="C10" s="113">
        <v>1</v>
      </c>
      <c r="D10" s="119">
        <v>1</v>
      </c>
      <c r="E10" s="114"/>
      <c r="F10" s="115"/>
      <c r="G10" s="26"/>
      <c r="H10" s="26"/>
      <c r="I10" s="31"/>
      <c r="J10" s="113">
        <v>1</v>
      </c>
      <c r="K10" s="44">
        <v>1</v>
      </c>
      <c r="L10" s="139">
        <v>1</v>
      </c>
      <c r="M10" s="209">
        <f>SUM(C10:L10)</f>
        <v>5</v>
      </c>
      <c r="N10" s="141">
        <v>1</v>
      </c>
      <c r="O10" s="113">
        <v>1</v>
      </c>
      <c r="P10" s="114"/>
      <c r="Q10" s="115"/>
      <c r="R10" s="26"/>
      <c r="S10" s="26"/>
      <c r="T10" s="31"/>
      <c r="U10" s="113">
        <v>1</v>
      </c>
      <c r="V10" s="116">
        <v>1</v>
      </c>
      <c r="W10" s="139">
        <v>1</v>
      </c>
      <c r="X10" s="206">
        <f>SUM(N10:W10)</f>
        <v>5</v>
      </c>
      <c r="Y10" s="141">
        <v>1</v>
      </c>
      <c r="Z10" s="113">
        <v>1</v>
      </c>
      <c r="AA10" s="113">
        <v>1</v>
      </c>
      <c r="AB10" s="113">
        <v>1</v>
      </c>
      <c r="AC10" s="26"/>
      <c r="AD10" s="26"/>
      <c r="AE10" s="31"/>
      <c r="AF10" s="28"/>
      <c r="AG10" s="44">
        <v>1</v>
      </c>
      <c r="AH10" s="48">
        <f>SUM(Y10:AG10)</f>
        <v>5</v>
      </c>
      <c r="AI10" s="34"/>
      <c r="AJ10" s="40"/>
      <c r="AK10" s="39"/>
      <c r="AL10" s="39"/>
      <c r="AM10" s="39"/>
      <c r="AN10" s="34"/>
      <c r="AO10" s="35"/>
    </row>
    <row r="11" spans="1:41" ht="16.5" thickBot="1" x14ac:dyDescent="0.3">
      <c r="A11" s="5">
        <v>2</v>
      </c>
      <c r="B11" s="49" t="s">
        <v>25</v>
      </c>
      <c r="C11" s="113"/>
      <c r="D11" s="119"/>
      <c r="E11" s="117"/>
      <c r="F11" s="115"/>
      <c r="G11" s="26"/>
      <c r="H11" s="9"/>
      <c r="I11" s="27"/>
      <c r="J11" s="113"/>
      <c r="K11" s="44"/>
      <c r="L11" s="139"/>
      <c r="M11" s="209">
        <f t="shared" ref="M11:M48" si="0">SUM(C11:L11)</f>
        <v>0</v>
      </c>
      <c r="N11" s="141"/>
      <c r="O11" s="113"/>
      <c r="P11" s="117"/>
      <c r="Q11" s="115"/>
      <c r="R11" s="26"/>
      <c r="S11" s="9"/>
      <c r="T11" s="27"/>
      <c r="U11" s="113"/>
      <c r="V11" s="116"/>
      <c r="W11" s="139"/>
      <c r="X11" s="206">
        <f t="shared" ref="X11:X48" si="1">SUM(N11:W11)</f>
        <v>0</v>
      </c>
      <c r="Y11" s="141"/>
      <c r="Z11" s="113"/>
      <c r="AA11" s="113"/>
      <c r="AB11" s="113"/>
      <c r="AC11" s="26"/>
      <c r="AD11" s="9"/>
      <c r="AE11" s="27"/>
      <c r="AF11" s="28"/>
      <c r="AG11" s="44"/>
      <c r="AH11" s="48">
        <f t="shared" ref="AH11:AH48" si="2">SUM(Y11:AG11)</f>
        <v>0</v>
      </c>
      <c r="AI11" s="34"/>
      <c r="AJ11" s="40"/>
      <c r="AK11" s="39"/>
      <c r="AL11" s="39"/>
      <c r="AM11" s="39"/>
      <c r="AN11" s="34"/>
      <c r="AO11" s="35"/>
    </row>
    <row r="12" spans="1:41" ht="15.75" x14ac:dyDescent="0.25">
      <c r="A12" s="10">
        <v>3</v>
      </c>
      <c r="B12" s="49" t="s">
        <v>26</v>
      </c>
      <c r="C12" s="113"/>
      <c r="D12" s="119"/>
      <c r="E12" s="117"/>
      <c r="F12" s="115"/>
      <c r="G12" s="26"/>
      <c r="H12" s="9"/>
      <c r="I12" s="27"/>
      <c r="J12" s="113"/>
      <c r="K12" s="44"/>
      <c r="L12" s="139"/>
      <c r="M12" s="209">
        <f t="shared" si="0"/>
        <v>0</v>
      </c>
      <c r="N12" s="141"/>
      <c r="O12" s="113"/>
      <c r="P12" s="117"/>
      <c r="Q12" s="115"/>
      <c r="R12" s="26"/>
      <c r="S12" s="9"/>
      <c r="T12" s="27"/>
      <c r="U12" s="113"/>
      <c r="V12" s="116"/>
      <c r="W12" s="139"/>
      <c r="X12" s="206">
        <f t="shared" si="1"/>
        <v>0</v>
      </c>
      <c r="Y12" s="141"/>
      <c r="Z12" s="113"/>
      <c r="AA12" s="113"/>
      <c r="AB12" s="113"/>
      <c r="AC12" s="26"/>
      <c r="AD12" s="9"/>
      <c r="AE12" s="27"/>
      <c r="AF12" s="28"/>
      <c r="AG12" s="44"/>
      <c r="AH12" s="48">
        <f t="shared" si="2"/>
        <v>0</v>
      </c>
      <c r="AI12" s="34"/>
      <c r="AJ12" s="40"/>
      <c r="AK12" s="39"/>
      <c r="AL12" s="39"/>
      <c r="AM12" s="39"/>
      <c r="AN12" s="34"/>
      <c r="AO12" s="35"/>
    </row>
    <row r="13" spans="1:41" ht="16.5" thickBot="1" x14ac:dyDescent="0.3">
      <c r="A13" s="5">
        <v>4</v>
      </c>
      <c r="B13" s="49" t="s">
        <v>27</v>
      </c>
      <c r="C13" s="113"/>
      <c r="D13" s="119"/>
      <c r="E13" s="117"/>
      <c r="F13" s="115"/>
      <c r="G13" s="26"/>
      <c r="H13" s="9"/>
      <c r="I13" s="27"/>
      <c r="J13" s="113"/>
      <c r="K13" s="44"/>
      <c r="L13" s="139"/>
      <c r="M13" s="209">
        <f t="shared" si="0"/>
        <v>0</v>
      </c>
      <c r="N13" s="141"/>
      <c r="O13" s="113"/>
      <c r="P13" s="117"/>
      <c r="Q13" s="115"/>
      <c r="R13" s="26"/>
      <c r="S13" s="9"/>
      <c r="T13" s="27"/>
      <c r="U13" s="113"/>
      <c r="V13" s="116"/>
      <c r="W13" s="139"/>
      <c r="X13" s="206">
        <f t="shared" si="1"/>
        <v>0</v>
      </c>
      <c r="Y13" s="141"/>
      <c r="Z13" s="113"/>
      <c r="AA13" s="113"/>
      <c r="AB13" s="113"/>
      <c r="AC13" s="26"/>
      <c r="AD13" s="9"/>
      <c r="AE13" s="27"/>
      <c r="AF13" s="28"/>
      <c r="AG13" s="44"/>
      <c r="AH13" s="48">
        <f t="shared" si="2"/>
        <v>0</v>
      </c>
      <c r="AI13" s="34"/>
      <c r="AJ13" s="40"/>
      <c r="AK13" s="39"/>
      <c r="AL13" s="39"/>
      <c r="AM13" s="39"/>
      <c r="AN13" s="34"/>
      <c r="AO13" s="35"/>
    </row>
    <row r="14" spans="1:41" ht="15.75" x14ac:dyDescent="0.25">
      <c r="A14" s="10">
        <v>5</v>
      </c>
      <c r="B14" s="49" t="s">
        <v>28</v>
      </c>
      <c r="C14" s="113"/>
      <c r="D14" s="119"/>
      <c r="E14" s="117"/>
      <c r="F14" s="115"/>
      <c r="G14" s="26"/>
      <c r="H14" s="9"/>
      <c r="I14" s="27"/>
      <c r="J14" s="113"/>
      <c r="K14" s="44"/>
      <c r="L14" s="139"/>
      <c r="M14" s="209">
        <f t="shared" si="0"/>
        <v>0</v>
      </c>
      <c r="N14" s="141"/>
      <c r="O14" s="113"/>
      <c r="P14" s="117"/>
      <c r="Q14" s="115"/>
      <c r="R14" s="26"/>
      <c r="S14" s="9"/>
      <c r="T14" s="27"/>
      <c r="U14" s="113"/>
      <c r="V14" s="116"/>
      <c r="W14" s="139"/>
      <c r="X14" s="206">
        <f t="shared" si="1"/>
        <v>0</v>
      </c>
      <c r="Y14" s="141"/>
      <c r="Z14" s="113"/>
      <c r="AA14" s="113"/>
      <c r="AB14" s="113"/>
      <c r="AC14" s="26"/>
      <c r="AD14" s="9"/>
      <c r="AE14" s="27"/>
      <c r="AF14" s="28"/>
      <c r="AG14" s="44"/>
      <c r="AH14" s="48">
        <f t="shared" si="2"/>
        <v>0</v>
      </c>
      <c r="AI14" s="34"/>
      <c r="AJ14" s="40"/>
      <c r="AK14" s="39"/>
      <c r="AL14" s="39"/>
      <c r="AM14" s="39"/>
      <c r="AN14" s="34"/>
      <c r="AO14" s="35"/>
    </row>
    <row r="15" spans="1:41" ht="16.5" thickBot="1" x14ac:dyDescent="0.3">
      <c r="A15" s="5">
        <v>6</v>
      </c>
      <c r="B15" s="49" t="s">
        <v>29</v>
      </c>
      <c r="C15" s="113"/>
      <c r="D15" s="119"/>
      <c r="E15" s="117"/>
      <c r="F15" s="115"/>
      <c r="G15" s="26"/>
      <c r="H15" s="9"/>
      <c r="I15" s="27"/>
      <c r="J15" s="113"/>
      <c r="K15" s="44"/>
      <c r="L15" s="139"/>
      <c r="M15" s="209">
        <f t="shared" si="0"/>
        <v>0</v>
      </c>
      <c r="N15" s="141"/>
      <c r="O15" s="113"/>
      <c r="P15" s="117"/>
      <c r="Q15" s="115"/>
      <c r="R15" s="26"/>
      <c r="S15" s="9"/>
      <c r="T15" s="27"/>
      <c r="U15" s="113"/>
      <c r="V15" s="116"/>
      <c r="W15" s="139"/>
      <c r="X15" s="206">
        <f t="shared" si="1"/>
        <v>0</v>
      </c>
      <c r="Y15" s="141"/>
      <c r="Z15" s="113"/>
      <c r="AA15" s="113"/>
      <c r="AB15" s="113"/>
      <c r="AC15" s="26"/>
      <c r="AD15" s="9"/>
      <c r="AE15" s="27"/>
      <c r="AF15" s="28"/>
      <c r="AG15" s="44"/>
      <c r="AH15" s="48">
        <f t="shared" si="2"/>
        <v>0</v>
      </c>
      <c r="AI15" s="34"/>
      <c r="AJ15" s="40"/>
      <c r="AK15" s="39"/>
      <c r="AL15" s="39"/>
      <c r="AM15" s="39"/>
      <c r="AN15" s="34"/>
      <c r="AO15" s="35"/>
    </row>
    <row r="16" spans="1:41" ht="15.75" x14ac:dyDescent="0.25">
      <c r="A16" s="10">
        <v>7</v>
      </c>
      <c r="B16" s="49" t="s">
        <v>30</v>
      </c>
      <c r="C16" s="113"/>
      <c r="D16" s="119"/>
      <c r="E16" s="117"/>
      <c r="F16" s="115"/>
      <c r="G16" s="26"/>
      <c r="H16" s="9"/>
      <c r="I16" s="27"/>
      <c r="J16" s="113"/>
      <c r="K16" s="44"/>
      <c r="L16" s="139"/>
      <c r="M16" s="209">
        <f t="shared" si="0"/>
        <v>0</v>
      </c>
      <c r="N16" s="141"/>
      <c r="O16" s="113"/>
      <c r="P16" s="117"/>
      <c r="Q16" s="115"/>
      <c r="R16" s="26"/>
      <c r="S16" s="9"/>
      <c r="T16" s="27"/>
      <c r="U16" s="113"/>
      <c r="V16" s="116"/>
      <c r="W16" s="139"/>
      <c r="X16" s="206">
        <f t="shared" si="1"/>
        <v>0</v>
      </c>
      <c r="Y16" s="141"/>
      <c r="Z16" s="113"/>
      <c r="AA16" s="113"/>
      <c r="AB16" s="113"/>
      <c r="AC16" s="26"/>
      <c r="AD16" s="9"/>
      <c r="AE16" s="27"/>
      <c r="AF16" s="28"/>
      <c r="AG16" s="44"/>
      <c r="AH16" s="48">
        <f t="shared" si="2"/>
        <v>0</v>
      </c>
      <c r="AI16" s="34"/>
      <c r="AJ16" s="40"/>
      <c r="AK16" s="39"/>
      <c r="AL16" s="39"/>
      <c r="AM16" s="39"/>
      <c r="AN16" s="34"/>
      <c r="AO16" s="35"/>
    </row>
    <row r="17" spans="1:41" ht="16.5" thickBot="1" x14ac:dyDescent="0.3">
      <c r="A17" s="5">
        <v>8</v>
      </c>
      <c r="B17" s="49" t="s">
        <v>31</v>
      </c>
      <c r="C17" s="113"/>
      <c r="D17" s="119"/>
      <c r="E17" s="117"/>
      <c r="F17" s="115"/>
      <c r="G17" s="26"/>
      <c r="H17" s="9"/>
      <c r="I17" s="27"/>
      <c r="J17" s="113"/>
      <c r="K17" s="44"/>
      <c r="L17" s="139"/>
      <c r="M17" s="209">
        <f t="shared" si="0"/>
        <v>0</v>
      </c>
      <c r="N17" s="141"/>
      <c r="O17" s="113"/>
      <c r="P17" s="117"/>
      <c r="Q17" s="115"/>
      <c r="R17" s="26"/>
      <c r="S17" s="9"/>
      <c r="T17" s="27"/>
      <c r="U17" s="113"/>
      <c r="V17" s="116"/>
      <c r="W17" s="139"/>
      <c r="X17" s="206">
        <f t="shared" si="1"/>
        <v>0</v>
      </c>
      <c r="Y17" s="141"/>
      <c r="Z17" s="113"/>
      <c r="AA17" s="113"/>
      <c r="AB17" s="113"/>
      <c r="AC17" s="26"/>
      <c r="AD17" s="9"/>
      <c r="AE17" s="27"/>
      <c r="AF17" s="28"/>
      <c r="AG17" s="44"/>
      <c r="AH17" s="48">
        <f t="shared" si="2"/>
        <v>0</v>
      </c>
      <c r="AI17" s="34"/>
      <c r="AJ17" s="40"/>
      <c r="AK17" s="39"/>
      <c r="AL17" s="39"/>
      <c r="AM17" s="39"/>
      <c r="AN17" s="34"/>
      <c r="AO17" s="35"/>
    </row>
    <row r="18" spans="1:41" ht="15.75" x14ac:dyDescent="0.25">
      <c r="A18" s="10">
        <v>9</v>
      </c>
      <c r="B18" s="49" t="s">
        <v>32</v>
      </c>
      <c r="C18" s="113"/>
      <c r="D18" s="119"/>
      <c r="E18" s="117"/>
      <c r="F18" s="115"/>
      <c r="G18" s="26"/>
      <c r="H18" s="9"/>
      <c r="I18" s="27"/>
      <c r="J18" s="113"/>
      <c r="K18" s="44"/>
      <c r="L18" s="139"/>
      <c r="M18" s="209">
        <f t="shared" si="0"/>
        <v>0</v>
      </c>
      <c r="N18" s="141"/>
      <c r="O18" s="113"/>
      <c r="P18" s="117"/>
      <c r="Q18" s="115"/>
      <c r="R18" s="26"/>
      <c r="S18" s="9"/>
      <c r="T18" s="27"/>
      <c r="U18" s="113"/>
      <c r="V18" s="116"/>
      <c r="W18" s="139"/>
      <c r="X18" s="206">
        <f t="shared" si="1"/>
        <v>0</v>
      </c>
      <c r="Y18" s="141"/>
      <c r="Z18" s="113"/>
      <c r="AA18" s="113"/>
      <c r="AB18" s="113"/>
      <c r="AC18" s="26"/>
      <c r="AD18" s="9"/>
      <c r="AE18" s="27"/>
      <c r="AF18" s="28"/>
      <c r="AG18" s="44"/>
      <c r="AH18" s="48">
        <f t="shared" si="2"/>
        <v>0</v>
      </c>
      <c r="AI18" s="34"/>
      <c r="AJ18" s="40"/>
      <c r="AK18" s="39"/>
      <c r="AL18" s="39"/>
      <c r="AM18" s="39"/>
      <c r="AN18" s="34"/>
      <c r="AO18" s="35"/>
    </row>
    <row r="19" spans="1:41" ht="16.5" thickBot="1" x14ac:dyDescent="0.3">
      <c r="A19" s="5">
        <v>10</v>
      </c>
      <c r="B19" s="49" t="s">
        <v>33</v>
      </c>
      <c r="C19" s="113"/>
      <c r="D19" s="119"/>
      <c r="E19" s="117"/>
      <c r="F19" s="115"/>
      <c r="G19" s="26"/>
      <c r="H19" s="9"/>
      <c r="I19" s="27"/>
      <c r="J19" s="113"/>
      <c r="K19" s="44"/>
      <c r="L19" s="139"/>
      <c r="M19" s="209">
        <f t="shared" si="0"/>
        <v>0</v>
      </c>
      <c r="N19" s="141"/>
      <c r="O19" s="113"/>
      <c r="P19" s="117"/>
      <c r="Q19" s="115"/>
      <c r="R19" s="26"/>
      <c r="S19" s="9"/>
      <c r="T19" s="27"/>
      <c r="U19" s="113"/>
      <c r="V19" s="116"/>
      <c r="W19" s="139"/>
      <c r="X19" s="206">
        <f t="shared" si="1"/>
        <v>0</v>
      </c>
      <c r="Y19" s="141"/>
      <c r="Z19" s="113"/>
      <c r="AA19" s="113"/>
      <c r="AB19" s="113"/>
      <c r="AC19" s="26"/>
      <c r="AD19" s="9"/>
      <c r="AE19" s="27"/>
      <c r="AF19" s="28"/>
      <c r="AG19" s="44"/>
      <c r="AH19" s="48">
        <f t="shared" si="2"/>
        <v>0</v>
      </c>
      <c r="AI19" s="34"/>
      <c r="AJ19" s="40"/>
      <c r="AK19" s="39"/>
      <c r="AL19" s="39"/>
      <c r="AM19" s="39"/>
      <c r="AN19" s="34"/>
      <c r="AO19" s="35"/>
    </row>
    <row r="20" spans="1:41" ht="15.75" x14ac:dyDescent="0.25">
      <c r="A20" s="10">
        <v>11</v>
      </c>
      <c r="B20" s="49" t="s">
        <v>34</v>
      </c>
      <c r="C20" s="113"/>
      <c r="D20" s="119"/>
      <c r="E20" s="117"/>
      <c r="F20" s="115"/>
      <c r="G20" s="26"/>
      <c r="H20" s="9"/>
      <c r="I20" s="27"/>
      <c r="J20" s="113"/>
      <c r="K20" s="44"/>
      <c r="L20" s="139"/>
      <c r="M20" s="209">
        <f t="shared" si="0"/>
        <v>0</v>
      </c>
      <c r="N20" s="141"/>
      <c r="O20" s="113"/>
      <c r="P20" s="117"/>
      <c r="Q20" s="115"/>
      <c r="R20" s="26"/>
      <c r="S20" s="9"/>
      <c r="T20" s="27"/>
      <c r="U20" s="113"/>
      <c r="V20" s="116"/>
      <c r="W20" s="139"/>
      <c r="X20" s="206">
        <f t="shared" si="1"/>
        <v>0</v>
      </c>
      <c r="Y20" s="141"/>
      <c r="Z20" s="113"/>
      <c r="AA20" s="113"/>
      <c r="AB20" s="113"/>
      <c r="AC20" s="26"/>
      <c r="AD20" s="9"/>
      <c r="AE20" s="27"/>
      <c r="AF20" s="28"/>
      <c r="AG20" s="44"/>
      <c r="AH20" s="48">
        <f t="shared" si="2"/>
        <v>0</v>
      </c>
      <c r="AI20" s="34"/>
      <c r="AJ20" s="40"/>
      <c r="AK20" s="39"/>
      <c r="AL20" s="39"/>
      <c r="AM20" s="39"/>
      <c r="AN20" s="34"/>
      <c r="AO20" s="35"/>
    </row>
    <row r="21" spans="1:41" ht="16.5" thickBot="1" x14ac:dyDescent="0.3">
      <c r="A21" s="5">
        <v>12</v>
      </c>
      <c r="B21" s="49" t="s">
        <v>35</v>
      </c>
      <c r="C21" s="113"/>
      <c r="D21" s="119"/>
      <c r="E21" s="117"/>
      <c r="F21" s="115"/>
      <c r="G21" s="26"/>
      <c r="H21" s="9"/>
      <c r="I21" s="27"/>
      <c r="J21" s="113"/>
      <c r="K21" s="44"/>
      <c r="L21" s="139"/>
      <c r="M21" s="209">
        <f t="shared" si="0"/>
        <v>0</v>
      </c>
      <c r="N21" s="141"/>
      <c r="O21" s="113"/>
      <c r="P21" s="117"/>
      <c r="Q21" s="115"/>
      <c r="R21" s="26"/>
      <c r="S21" s="9"/>
      <c r="T21" s="27"/>
      <c r="U21" s="113"/>
      <c r="V21" s="116"/>
      <c r="W21" s="139"/>
      <c r="X21" s="206">
        <f t="shared" si="1"/>
        <v>0</v>
      </c>
      <c r="Y21" s="141"/>
      <c r="Z21" s="113"/>
      <c r="AA21" s="113"/>
      <c r="AB21" s="113"/>
      <c r="AC21" s="26"/>
      <c r="AD21" s="9"/>
      <c r="AE21" s="27"/>
      <c r="AF21" s="28"/>
      <c r="AG21" s="44"/>
      <c r="AH21" s="48">
        <f t="shared" si="2"/>
        <v>0</v>
      </c>
      <c r="AI21" s="34"/>
      <c r="AJ21" s="40"/>
      <c r="AK21" s="39"/>
      <c r="AL21" s="39"/>
      <c r="AM21" s="39"/>
      <c r="AN21" s="34"/>
      <c r="AO21" s="35"/>
    </row>
    <row r="22" spans="1:41" ht="15.75" x14ac:dyDescent="0.25">
      <c r="A22" s="10">
        <v>13</v>
      </c>
      <c r="B22" s="49" t="s">
        <v>36</v>
      </c>
      <c r="C22" s="113"/>
      <c r="D22" s="119"/>
      <c r="E22" s="117"/>
      <c r="F22" s="115"/>
      <c r="G22" s="26"/>
      <c r="H22" s="9"/>
      <c r="I22" s="27"/>
      <c r="J22" s="113"/>
      <c r="K22" s="44"/>
      <c r="L22" s="139"/>
      <c r="M22" s="209">
        <f t="shared" si="0"/>
        <v>0</v>
      </c>
      <c r="N22" s="141"/>
      <c r="O22" s="113"/>
      <c r="P22" s="117"/>
      <c r="Q22" s="115"/>
      <c r="R22" s="26"/>
      <c r="S22" s="9"/>
      <c r="T22" s="27"/>
      <c r="U22" s="113"/>
      <c r="V22" s="116"/>
      <c r="W22" s="139"/>
      <c r="X22" s="206">
        <f t="shared" si="1"/>
        <v>0</v>
      </c>
      <c r="Y22" s="141"/>
      <c r="Z22" s="113"/>
      <c r="AA22" s="113"/>
      <c r="AB22" s="113"/>
      <c r="AC22" s="26"/>
      <c r="AD22" s="9"/>
      <c r="AE22" s="27"/>
      <c r="AF22" s="28"/>
      <c r="AG22" s="44"/>
      <c r="AH22" s="48">
        <f t="shared" si="2"/>
        <v>0</v>
      </c>
      <c r="AI22" s="34"/>
      <c r="AJ22" s="40"/>
      <c r="AK22" s="39"/>
      <c r="AL22" s="39"/>
      <c r="AM22" s="39"/>
      <c r="AN22" s="34"/>
      <c r="AO22" s="35"/>
    </row>
    <row r="23" spans="1:41" ht="16.5" thickBot="1" x14ac:dyDescent="0.3">
      <c r="A23" s="5">
        <v>14</v>
      </c>
      <c r="B23" s="49" t="s">
        <v>37</v>
      </c>
      <c r="C23" s="113"/>
      <c r="D23" s="119"/>
      <c r="E23" s="117"/>
      <c r="F23" s="115"/>
      <c r="G23" s="26"/>
      <c r="H23" s="9"/>
      <c r="I23" s="27"/>
      <c r="J23" s="113"/>
      <c r="K23" s="44"/>
      <c r="L23" s="139"/>
      <c r="M23" s="209">
        <f t="shared" si="0"/>
        <v>0</v>
      </c>
      <c r="N23" s="141"/>
      <c r="O23" s="113"/>
      <c r="P23" s="117"/>
      <c r="Q23" s="115"/>
      <c r="R23" s="26"/>
      <c r="S23" s="9"/>
      <c r="T23" s="27"/>
      <c r="U23" s="113"/>
      <c r="V23" s="116"/>
      <c r="W23" s="139"/>
      <c r="X23" s="206">
        <f t="shared" si="1"/>
        <v>0</v>
      </c>
      <c r="Y23" s="141"/>
      <c r="Z23" s="113"/>
      <c r="AA23" s="113"/>
      <c r="AB23" s="113"/>
      <c r="AC23" s="26"/>
      <c r="AD23" s="9"/>
      <c r="AE23" s="27"/>
      <c r="AF23" s="28"/>
      <c r="AG23" s="44"/>
      <c r="AH23" s="48">
        <f t="shared" si="2"/>
        <v>0</v>
      </c>
      <c r="AI23" s="34"/>
      <c r="AJ23" s="40"/>
      <c r="AK23" s="39"/>
      <c r="AL23" s="39"/>
      <c r="AM23" s="39"/>
      <c r="AN23" s="34"/>
      <c r="AO23" s="35"/>
    </row>
    <row r="24" spans="1:41" ht="15.75" x14ac:dyDescent="0.25">
      <c r="A24" s="10">
        <v>15</v>
      </c>
      <c r="B24" s="49" t="s">
        <v>38</v>
      </c>
      <c r="C24" s="113"/>
      <c r="D24" s="119"/>
      <c r="E24" s="117"/>
      <c r="F24" s="115"/>
      <c r="G24" s="26"/>
      <c r="H24" s="9"/>
      <c r="I24" s="27"/>
      <c r="J24" s="113"/>
      <c r="K24" s="44"/>
      <c r="L24" s="139"/>
      <c r="M24" s="209">
        <f t="shared" si="0"/>
        <v>0</v>
      </c>
      <c r="N24" s="141"/>
      <c r="O24" s="113"/>
      <c r="P24" s="117"/>
      <c r="Q24" s="115"/>
      <c r="R24" s="26"/>
      <c r="S24" s="9"/>
      <c r="T24" s="27"/>
      <c r="U24" s="113"/>
      <c r="V24" s="116"/>
      <c r="W24" s="139"/>
      <c r="X24" s="206">
        <f t="shared" si="1"/>
        <v>0</v>
      </c>
      <c r="Y24" s="141"/>
      <c r="Z24" s="113"/>
      <c r="AA24" s="113"/>
      <c r="AB24" s="113"/>
      <c r="AC24" s="26"/>
      <c r="AD24" s="9"/>
      <c r="AE24" s="27"/>
      <c r="AF24" s="28"/>
      <c r="AG24" s="44"/>
      <c r="AH24" s="48">
        <f t="shared" si="2"/>
        <v>0</v>
      </c>
      <c r="AI24" s="34"/>
      <c r="AJ24" s="40"/>
      <c r="AK24" s="39"/>
      <c r="AL24" s="39"/>
      <c r="AM24" s="39"/>
      <c r="AN24" s="34"/>
      <c r="AO24" s="35"/>
    </row>
    <row r="25" spans="1:41" ht="16.5" thickBot="1" x14ac:dyDescent="0.3">
      <c r="A25" s="5">
        <v>16</v>
      </c>
      <c r="B25" s="49" t="s">
        <v>39</v>
      </c>
      <c r="C25" s="113"/>
      <c r="D25" s="119"/>
      <c r="E25" s="117"/>
      <c r="F25" s="115"/>
      <c r="G25" s="26"/>
      <c r="H25" s="9"/>
      <c r="I25" s="27"/>
      <c r="J25" s="113"/>
      <c r="K25" s="44"/>
      <c r="L25" s="139"/>
      <c r="M25" s="209">
        <f t="shared" si="0"/>
        <v>0</v>
      </c>
      <c r="N25" s="141"/>
      <c r="O25" s="113"/>
      <c r="P25" s="117"/>
      <c r="Q25" s="115"/>
      <c r="R25" s="26"/>
      <c r="S25" s="9"/>
      <c r="T25" s="27"/>
      <c r="U25" s="113"/>
      <c r="V25" s="116"/>
      <c r="W25" s="139"/>
      <c r="X25" s="206">
        <f t="shared" si="1"/>
        <v>0</v>
      </c>
      <c r="Y25" s="141"/>
      <c r="Z25" s="113"/>
      <c r="AA25" s="113"/>
      <c r="AB25" s="113"/>
      <c r="AC25" s="26"/>
      <c r="AD25" s="9"/>
      <c r="AE25" s="27"/>
      <c r="AF25" s="28"/>
      <c r="AG25" s="44"/>
      <c r="AH25" s="48">
        <f t="shared" si="2"/>
        <v>0</v>
      </c>
      <c r="AI25" s="34"/>
      <c r="AJ25" s="40"/>
      <c r="AK25" s="39"/>
      <c r="AL25" s="39"/>
      <c r="AM25" s="39"/>
      <c r="AN25" s="34"/>
      <c r="AO25" s="35"/>
    </row>
    <row r="26" spans="1:41" ht="15.75" x14ac:dyDescent="0.25">
      <c r="A26" s="10">
        <v>17</v>
      </c>
      <c r="B26" s="49" t="s">
        <v>40</v>
      </c>
      <c r="C26" s="113"/>
      <c r="D26" s="119"/>
      <c r="E26" s="117"/>
      <c r="F26" s="115"/>
      <c r="G26" s="26"/>
      <c r="H26" s="9"/>
      <c r="I26" s="27"/>
      <c r="J26" s="113"/>
      <c r="K26" s="44"/>
      <c r="L26" s="139"/>
      <c r="M26" s="209">
        <f t="shared" si="0"/>
        <v>0</v>
      </c>
      <c r="N26" s="141"/>
      <c r="O26" s="113"/>
      <c r="P26" s="117"/>
      <c r="Q26" s="115"/>
      <c r="R26" s="26"/>
      <c r="S26" s="9"/>
      <c r="T26" s="27"/>
      <c r="U26" s="113"/>
      <c r="V26" s="116"/>
      <c r="W26" s="139"/>
      <c r="X26" s="206">
        <f t="shared" si="1"/>
        <v>0</v>
      </c>
      <c r="Y26" s="141"/>
      <c r="Z26" s="113"/>
      <c r="AA26" s="113"/>
      <c r="AB26" s="113"/>
      <c r="AC26" s="26"/>
      <c r="AD26" s="9"/>
      <c r="AE26" s="27"/>
      <c r="AF26" s="28"/>
      <c r="AG26" s="44"/>
      <c r="AH26" s="48">
        <f t="shared" si="2"/>
        <v>0</v>
      </c>
      <c r="AI26" s="34"/>
      <c r="AJ26" s="40"/>
      <c r="AK26" s="39"/>
      <c r="AL26" s="39"/>
      <c r="AM26" s="39"/>
      <c r="AN26" s="34"/>
      <c r="AO26" s="35"/>
    </row>
    <row r="27" spans="1:41" ht="16.5" thickBot="1" x14ac:dyDescent="0.3">
      <c r="A27" s="5">
        <v>18</v>
      </c>
      <c r="B27" s="49" t="s">
        <v>41</v>
      </c>
      <c r="C27" s="113"/>
      <c r="D27" s="119"/>
      <c r="E27" s="117"/>
      <c r="F27" s="115"/>
      <c r="G27" s="26"/>
      <c r="H27" s="9"/>
      <c r="I27" s="27"/>
      <c r="J27" s="113"/>
      <c r="K27" s="44"/>
      <c r="L27" s="139"/>
      <c r="M27" s="209">
        <f t="shared" si="0"/>
        <v>0</v>
      </c>
      <c r="N27" s="141"/>
      <c r="O27" s="113"/>
      <c r="P27" s="117"/>
      <c r="Q27" s="115"/>
      <c r="R27" s="26"/>
      <c r="S27" s="9"/>
      <c r="T27" s="27"/>
      <c r="U27" s="113"/>
      <c r="V27" s="116"/>
      <c r="W27" s="139"/>
      <c r="X27" s="206">
        <f t="shared" si="1"/>
        <v>0</v>
      </c>
      <c r="Y27" s="141"/>
      <c r="Z27" s="113"/>
      <c r="AA27" s="113"/>
      <c r="AB27" s="113"/>
      <c r="AC27" s="26"/>
      <c r="AD27" s="9"/>
      <c r="AE27" s="27"/>
      <c r="AF27" s="28"/>
      <c r="AG27" s="44"/>
      <c r="AH27" s="48">
        <f t="shared" si="2"/>
        <v>0</v>
      </c>
      <c r="AI27" s="34"/>
      <c r="AJ27" s="40"/>
      <c r="AK27" s="39"/>
      <c r="AL27" s="39"/>
      <c r="AM27" s="39"/>
      <c r="AN27" s="34"/>
      <c r="AO27" s="35"/>
    </row>
    <row r="28" spans="1:41" ht="15.75" x14ac:dyDescent="0.25">
      <c r="A28" s="10">
        <v>19</v>
      </c>
      <c r="B28" s="49" t="s">
        <v>42</v>
      </c>
      <c r="C28" s="118"/>
      <c r="D28" s="119"/>
      <c r="E28" s="117"/>
      <c r="F28" s="115"/>
      <c r="G28" s="26"/>
      <c r="H28" s="9"/>
      <c r="I28" s="27"/>
      <c r="J28" s="113"/>
      <c r="K28" s="44"/>
      <c r="L28" s="139"/>
      <c r="M28" s="209">
        <f t="shared" si="0"/>
        <v>0</v>
      </c>
      <c r="N28" s="141"/>
      <c r="O28" s="113"/>
      <c r="P28" s="117"/>
      <c r="Q28" s="115"/>
      <c r="R28" s="26"/>
      <c r="S28" s="9"/>
      <c r="T28" s="27"/>
      <c r="U28" s="118"/>
      <c r="V28" s="116"/>
      <c r="W28" s="139"/>
      <c r="X28" s="206">
        <f t="shared" si="1"/>
        <v>0</v>
      </c>
      <c r="Y28" s="141"/>
      <c r="Z28" s="113"/>
      <c r="AA28" s="113"/>
      <c r="AB28" s="113"/>
      <c r="AC28" s="26"/>
      <c r="AD28" s="9"/>
      <c r="AE28" s="27"/>
      <c r="AF28" s="28"/>
      <c r="AG28" s="44"/>
      <c r="AH28" s="48">
        <f t="shared" si="2"/>
        <v>0</v>
      </c>
      <c r="AI28" s="34"/>
      <c r="AJ28" s="40"/>
      <c r="AK28" s="39"/>
      <c r="AL28" s="39"/>
      <c r="AM28" s="39"/>
      <c r="AN28" s="34"/>
      <c r="AO28" s="35"/>
    </row>
    <row r="29" spans="1:41" ht="16.5" thickBot="1" x14ac:dyDescent="0.3">
      <c r="A29" s="5">
        <v>20</v>
      </c>
      <c r="B29" s="49" t="s">
        <v>43</v>
      </c>
      <c r="C29" s="113"/>
      <c r="D29" s="119"/>
      <c r="E29" s="117"/>
      <c r="F29" s="115"/>
      <c r="G29" s="26"/>
      <c r="H29" s="9"/>
      <c r="I29" s="27"/>
      <c r="J29" s="113"/>
      <c r="K29" s="44"/>
      <c r="L29" s="139"/>
      <c r="M29" s="209">
        <f t="shared" si="0"/>
        <v>0</v>
      </c>
      <c r="N29" s="141"/>
      <c r="O29" s="113"/>
      <c r="P29" s="117"/>
      <c r="Q29" s="115"/>
      <c r="R29" s="26"/>
      <c r="S29" s="9"/>
      <c r="T29" s="27"/>
      <c r="U29" s="113"/>
      <c r="V29" s="116"/>
      <c r="W29" s="139"/>
      <c r="X29" s="206">
        <f t="shared" si="1"/>
        <v>0</v>
      </c>
      <c r="Y29" s="141"/>
      <c r="Z29" s="113"/>
      <c r="AA29" s="113"/>
      <c r="AB29" s="113"/>
      <c r="AC29" s="26"/>
      <c r="AD29" s="9"/>
      <c r="AE29" s="27"/>
      <c r="AF29" s="28"/>
      <c r="AG29" s="44"/>
      <c r="AH29" s="48">
        <f t="shared" si="2"/>
        <v>0</v>
      </c>
      <c r="AI29" s="34"/>
      <c r="AJ29" s="40"/>
      <c r="AK29" s="39"/>
      <c r="AL29" s="39"/>
      <c r="AM29" s="39"/>
      <c r="AN29" s="34"/>
      <c r="AO29" s="35"/>
    </row>
    <row r="30" spans="1:41" ht="15.75" x14ac:dyDescent="0.25">
      <c r="A30" s="10">
        <v>21</v>
      </c>
      <c r="B30" s="49" t="s">
        <v>44</v>
      </c>
      <c r="C30" s="118"/>
      <c r="D30" s="119"/>
      <c r="E30" s="117"/>
      <c r="F30" s="115"/>
      <c r="G30" s="26"/>
      <c r="H30" s="9"/>
      <c r="I30" s="27"/>
      <c r="J30" s="113"/>
      <c r="K30" s="44"/>
      <c r="L30" s="139"/>
      <c r="M30" s="209">
        <f t="shared" si="0"/>
        <v>0</v>
      </c>
      <c r="N30" s="141"/>
      <c r="O30" s="113"/>
      <c r="P30" s="117"/>
      <c r="Q30" s="115"/>
      <c r="R30" s="26"/>
      <c r="S30" s="9"/>
      <c r="T30" s="27"/>
      <c r="U30" s="118"/>
      <c r="V30" s="116"/>
      <c r="W30" s="139"/>
      <c r="X30" s="206">
        <f t="shared" si="1"/>
        <v>0</v>
      </c>
      <c r="Y30" s="141"/>
      <c r="Z30" s="113"/>
      <c r="AA30" s="113"/>
      <c r="AB30" s="113"/>
      <c r="AC30" s="26"/>
      <c r="AD30" s="9"/>
      <c r="AE30" s="27"/>
      <c r="AF30" s="28"/>
      <c r="AG30" s="44"/>
      <c r="AH30" s="48">
        <f t="shared" si="2"/>
        <v>0</v>
      </c>
      <c r="AI30" s="34"/>
      <c r="AJ30" s="40"/>
      <c r="AK30" s="39"/>
      <c r="AL30" s="39"/>
      <c r="AM30" s="39"/>
      <c r="AN30" s="34"/>
      <c r="AO30" s="35"/>
    </row>
    <row r="31" spans="1:41" ht="16.5" thickBot="1" x14ac:dyDescent="0.3">
      <c r="A31" s="5">
        <v>22</v>
      </c>
      <c r="B31" s="49" t="s">
        <v>45</v>
      </c>
      <c r="C31" s="113"/>
      <c r="D31" s="119"/>
      <c r="E31" s="117"/>
      <c r="F31" s="115"/>
      <c r="G31" s="26"/>
      <c r="H31" s="9"/>
      <c r="I31" s="27"/>
      <c r="J31" s="113"/>
      <c r="K31" s="44"/>
      <c r="L31" s="139"/>
      <c r="M31" s="209">
        <f t="shared" si="0"/>
        <v>0</v>
      </c>
      <c r="N31" s="141"/>
      <c r="O31" s="113"/>
      <c r="P31" s="117"/>
      <c r="Q31" s="115"/>
      <c r="R31" s="26"/>
      <c r="S31" s="9"/>
      <c r="T31" s="27"/>
      <c r="U31" s="113"/>
      <c r="V31" s="116"/>
      <c r="W31" s="139"/>
      <c r="X31" s="206">
        <f t="shared" si="1"/>
        <v>0</v>
      </c>
      <c r="Y31" s="141"/>
      <c r="Z31" s="113"/>
      <c r="AA31" s="113"/>
      <c r="AB31" s="113"/>
      <c r="AC31" s="26"/>
      <c r="AD31" s="9"/>
      <c r="AE31" s="27"/>
      <c r="AF31" s="28"/>
      <c r="AG31" s="44"/>
      <c r="AH31" s="48">
        <f t="shared" si="2"/>
        <v>0</v>
      </c>
      <c r="AI31" s="34"/>
      <c r="AJ31" s="40"/>
      <c r="AK31" s="39"/>
      <c r="AL31" s="39"/>
      <c r="AM31" s="39"/>
      <c r="AN31" s="34"/>
      <c r="AO31" s="35"/>
    </row>
    <row r="32" spans="1:41" ht="15.75" x14ac:dyDescent="0.25">
      <c r="A32" s="10">
        <v>23</v>
      </c>
      <c r="B32" s="49" t="s">
        <v>46</v>
      </c>
      <c r="C32" s="113"/>
      <c r="D32" s="119"/>
      <c r="E32" s="117"/>
      <c r="F32" s="115"/>
      <c r="G32" s="26"/>
      <c r="H32" s="9"/>
      <c r="I32" s="27"/>
      <c r="J32" s="113"/>
      <c r="K32" s="44"/>
      <c r="L32" s="139"/>
      <c r="M32" s="209">
        <f t="shared" si="0"/>
        <v>0</v>
      </c>
      <c r="N32" s="141"/>
      <c r="O32" s="113"/>
      <c r="P32" s="117"/>
      <c r="Q32" s="115"/>
      <c r="R32" s="26"/>
      <c r="S32" s="9"/>
      <c r="T32" s="27"/>
      <c r="U32" s="113"/>
      <c r="V32" s="116"/>
      <c r="W32" s="139"/>
      <c r="X32" s="206">
        <f t="shared" si="1"/>
        <v>0</v>
      </c>
      <c r="Y32" s="141"/>
      <c r="Z32" s="113"/>
      <c r="AA32" s="113"/>
      <c r="AB32" s="113"/>
      <c r="AC32" s="26"/>
      <c r="AD32" s="9"/>
      <c r="AE32" s="27"/>
      <c r="AF32" s="28"/>
      <c r="AG32" s="44"/>
      <c r="AH32" s="48">
        <f t="shared" si="2"/>
        <v>0</v>
      </c>
      <c r="AI32" s="34"/>
      <c r="AJ32" s="40"/>
      <c r="AK32" s="39"/>
      <c r="AL32" s="39"/>
      <c r="AM32" s="39"/>
      <c r="AN32" s="34"/>
      <c r="AO32" s="35"/>
    </row>
    <row r="33" spans="1:41" ht="16.5" thickBot="1" x14ac:dyDescent="0.3">
      <c r="A33" s="5">
        <v>24</v>
      </c>
      <c r="B33" s="49" t="s">
        <v>47</v>
      </c>
      <c r="C33" s="113"/>
      <c r="D33" s="119"/>
      <c r="E33" s="117"/>
      <c r="F33" s="115"/>
      <c r="G33" s="26"/>
      <c r="H33" s="9"/>
      <c r="I33" s="27"/>
      <c r="J33" s="113"/>
      <c r="K33" s="44"/>
      <c r="L33" s="139"/>
      <c r="M33" s="209">
        <f t="shared" si="0"/>
        <v>0</v>
      </c>
      <c r="N33" s="141"/>
      <c r="O33" s="113"/>
      <c r="P33" s="117"/>
      <c r="Q33" s="115"/>
      <c r="R33" s="26"/>
      <c r="S33" s="9"/>
      <c r="T33" s="27"/>
      <c r="U33" s="113"/>
      <c r="V33" s="116"/>
      <c r="W33" s="139"/>
      <c r="X33" s="206">
        <f t="shared" si="1"/>
        <v>0</v>
      </c>
      <c r="Y33" s="141"/>
      <c r="Z33" s="113"/>
      <c r="AA33" s="113"/>
      <c r="AB33" s="113"/>
      <c r="AC33" s="26"/>
      <c r="AD33" s="9"/>
      <c r="AE33" s="27"/>
      <c r="AF33" s="28"/>
      <c r="AG33" s="44"/>
      <c r="AH33" s="48">
        <f t="shared" si="2"/>
        <v>0</v>
      </c>
      <c r="AI33" s="34"/>
      <c r="AJ33" s="40"/>
      <c r="AK33" s="39"/>
      <c r="AL33" s="39"/>
      <c r="AM33" s="39"/>
      <c r="AN33" s="34"/>
      <c r="AO33" s="35"/>
    </row>
    <row r="34" spans="1:41" ht="15.75" x14ac:dyDescent="0.25">
      <c r="A34" s="10">
        <v>25</v>
      </c>
      <c r="B34" s="49" t="s">
        <v>48</v>
      </c>
      <c r="C34" s="113"/>
      <c r="D34" s="119"/>
      <c r="E34" s="117"/>
      <c r="F34" s="115"/>
      <c r="G34" s="26"/>
      <c r="H34" s="9"/>
      <c r="I34" s="27"/>
      <c r="J34" s="113"/>
      <c r="K34" s="44"/>
      <c r="L34" s="139"/>
      <c r="M34" s="209">
        <f t="shared" si="0"/>
        <v>0</v>
      </c>
      <c r="N34" s="141"/>
      <c r="O34" s="113"/>
      <c r="P34" s="117"/>
      <c r="Q34" s="115"/>
      <c r="R34" s="26"/>
      <c r="S34" s="9"/>
      <c r="T34" s="27"/>
      <c r="U34" s="113"/>
      <c r="V34" s="116"/>
      <c r="W34" s="139"/>
      <c r="X34" s="206">
        <f t="shared" si="1"/>
        <v>0</v>
      </c>
      <c r="Y34" s="141"/>
      <c r="Z34" s="113"/>
      <c r="AA34" s="113"/>
      <c r="AB34" s="113"/>
      <c r="AC34" s="26"/>
      <c r="AD34" s="9"/>
      <c r="AE34" s="27"/>
      <c r="AF34" s="28"/>
      <c r="AG34" s="44"/>
      <c r="AH34" s="48">
        <f t="shared" si="2"/>
        <v>0</v>
      </c>
      <c r="AI34" s="34"/>
      <c r="AJ34" s="40"/>
      <c r="AK34" s="39"/>
      <c r="AL34" s="39"/>
      <c r="AM34" s="39"/>
      <c r="AN34" s="34"/>
      <c r="AO34" s="35"/>
    </row>
    <row r="35" spans="1:41" ht="15.75" x14ac:dyDescent="0.25">
      <c r="A35" s="5">
        <v>26</v>
      </c>
      <c r="B35" s="49" t="s">
        <v>49</v>
      </c>
      <c r="C35" s="113"/>
      <c r="D35" s="119"/>
      <c r="E35" s="117"/>
      <c r="F35" s="115"/>
      <c r="G35" s="26"/>
      <c r="H35" s="9"/>
      <c r="I35" s="27"/>
      <c r="J35" s="113"/>
      <c r="K35" s="44"/>
      <c r="L35" s="139"/>
      <c r="M35" s="209">
        <f t="shared" si="0"/>
        <v>0</v>
      </c>
      <c r="N35" s="141"/>
      <c r="O35" s="113"/>
      <c r="P35" s="117"/>
      <c r="Q35" s="115"/>
      <c r="R35" s="26"/>
      <c r="S35" s="9"/>
      <c r="T35" s="27"/>
      <c r="U35" s="113"/>
      <c r="V35" s="116"/>
      <c r="W35" s="139"/>
      <c r="X35" s="206">
        <f t="shared" si="1"/>
        <v>0</v>
      </c>
      <c r="Y35" s="141"/>
      <c r="Z35" s="113"/>
      <c r="AA35" s="113"/>
      <c r="AB35" s="113"/>
      <c r="AC35" s="26"/>
      <c r="AD35" s="9"/>
      <c r="AE35" s="27"/>
      <c r="AF35" s="28"/>
      <c r="AG35" s="44"/>
      <c r="AH35" s="48">
        <f t="shared" si="2"/>
        <v>0</v>
      </c>
      <c r="AI35" s="34"/>
      <c r="AJ35" s="40"/>
      <c r="AK35" s="39"/>
      <c r="AL35" s="39"/>
      <c r="AM35" s="39"/>
      <c r="AN35" s="34"/>
      <c r="AO35" s="35"/>
    </row>
    <row r="36" spans="1:41" ht="15.75" x14ac:dyDescent="0.25">
      <c r="A36" s="5">
        <v>27</v>
      </c>
      <c r="B36" s="49" t="s">
        <v>50</v>
      </c>
      <c r="C36" s="113"/>
      <c r="D36" s="119"/>
      <c r="E36" s="117"/>
      <c r="F36" s="115"/>
      <c r="G36" s="26"/>
      <c r="H36" s="9"/>
      <c r="I36" s="27"/>
      <c r="J36" s="113"/>
      <c r="K36" s="44"/>
      <c r="L36" s="139"/>
      <c r="M36" s="209">
        <f t="shared" si="0"/>
        <v>0</v>
      </c>
      <c r="N36" s="141"/>
      <c r="O36" s="113"/>
      <c r="P36" s="117"/>
      <c r="Q36" s="115"/>
      <c r="R36" s="26"/>
      <c r="S36" s="9"/>
      <c r="T36" s="27"/>
      <c r="U36" s="113"/>
      <c r="V36" s="116"/>
      <c r="W36" s="139"/>
      <c r="X36" s="206">
        <f t="shared" si="1"/>
        <v>0</v>
      </c>
      <c r="Y36" s="141"/>
      <c r="Z36" s="113"/>
      <c r="AA36" s="113"/>
      <c r="AB36" s="113"/>
      <c r="AC36" s="26"/>
      <c r="AD36" s="9"/>
      <c r="AE36" s="27"/>
      <c r="AF36" s="28"/>
      <c r="AG36" s="44"/>
      <c r="AH36" s="48">
        <f t="shared" si="2"/>
        <v>0</v>
      </c>
      <c r="AI36" s="34"/>
      <c r="AJ36" s="40"/>
      <c r="AK36" s="39"/>
      <c r="AL36" s="39"/>
      <c r="AM36" s="39"/>
      <c r="AN36" s="34"/>
      <c r="AO36" s="35"/>
    </row>
    <row r="37" spans="1:41" ht="15.75" x14ac:dyDescent="0.25">
      <c r="A37" s="5">
        <v>28</v>
      </c>
      <c r="B37" s="49" t="s">
        <v>51</v>
      </c>
      <c r="C37" s="113"/>
      <c r="D37" s="119"/>
      <c r="E37" s="117"/>
      <c r="F37" s="115"/>
      <c r="G37" s="26"/>
      <c r="H37" s="9"/>
      <c r="I37" s="27"/>
      <c r="J37" s="113"/>
      <c r="K37" s="44"/>
      <c r="L37" s="139"/>
      <c r="M37" s="209">
        <f t="shared" si="0"/>
        <v>0</v>
      </c>
      <c r="N37" s="141"/>
      <c r="O37" s="113"/>
      <c r="P37" s="117"/>
      <c r="Q37" s="115"/>
      <c r="R37" s="26"/>
      <c r="S37" s="9"/>
      <c r="T37" s="27"/>
      <c r="U37" s="113"/>
      <c r="V37" s="116"/>
      <c r="W37" s="139"/>
      <c r="X37" s="206">
        <f t="shared" si="1"/>
        <v>0</v>
      </c>
      <c r="Y37" s="141"/>
      <c r="Z37" s="113"/>
      <c r="AA37" s="113"/>
      <c r="AB37" s="113"/>
      <c r="AC37" s="26"/>
      <c r="AD37" s="9"/>
      <c r="AE37" s="27"/>
      <c r="AF37" s="28"/>
      <c r="AG37" s="44"/>
      <c r="AH37" s="48">
        <f t="shared" si="2"/>
        <v>0</v>
      </c>
      <c r="AI37" s="34"/>
      <c r="AJ37" s="40"/>
      <c r="AK37" s="39"/>
      <c r="AL37" s="39"/>
      <c r="AM37" s="39"/>
      <c r="AN37" s="34"/>
      <c r="AO37" s="35"/>
    </row>
    <row r="38" spans="1:41" ht="15.75" x14ac:dyDescent="0.25">
      <c r="A38" s="5">
        <v>29</v>
      </c>
      <c r="B38" s="49" t="s">
        <v>52</v>
      </c>
      <c r="C38" s="113"/>
      <c r="D38" s="119"/>
      <c r="E38" s="117"/>
      <c r="F38" s="115"/>
      <c r="G38" s="26"/>
      <c r="H38" s="9"/>
      <c r="I38" s="27"/>
      <c r="J38" s="113"/>
      <c r="K38" s="44"/>
      <c r="L38" s="139"/>
      <c r="M38" s="209">
        <f t="shared" si="0"/>
        <v>0</v>
      </c>
      <c r="N38" s="141"/>
      <c r="O38" s="113"/>
      <c r="P38" s="117"/>
      <c r="Q38" s="115"/>
      <c r="R38" s="26"/>
      <c r="S38" s="9"/>
      <c r="T38" s="27"/>
      <c r="U38" s="113"/>
      <c r="V38" s="116"/>
      <c r="W38" s="139"/>
      <c r="X38" s="206">
        <f t="shared" si="1"/>
        <v>0</v>
      </c>
      <c r="Y38" s="141"/>
      <c r="Z38" s="113"/>
      <c r="AA38" s="113"/>
      <c r="AB38" s="113"/>
      <c r="AC38" s="26"/>
      <c r="AD38" s="9"/>
      <c r="AE38" s="27"/>
      <c r="AF38" s="28"/>
      <c r="AG38" s="44"/>
      <c r="AH38" s="48">
        <f t="shared" si="2"/>
        <v>0</v>
      </c>
      <c r="AI38" s="34"/>
      <c r="AJ38" s="40"/>
      <c r="AK38" s="39"/>
      <c r="AL38" s="39"/>
      <c r="AM38" s="39"/>
      <c r="AN38" s="34"/>
      <c r="AO38" s="35"/>
    </row>
    <row r="39" spans="1:41" ht="15.75" x14ac:dyDescent="0.25">
      <c r="A39" s="5">
        <v>30</v>
      </c>
      <c r="B39" s="49" t="s">
        <v>53</v>
      </c>
      <c r="C39" s="113"/>
      <c r="D39" s="119"/>
      <c r="E39" s="117"/>
      <c r="F39" s="115"/>
      <c r="G39" s="26"/>
      <c r="H39" s="9"/>
      <c r="I39" s="27"/>
      <c r="J39" s="113"/>
      <c r="K39" s="44"/>
      <c r="L39" s="139"/>
      <c r="M39" s="209">
        <f t="shared" si="0"/>
        <v>0</v>
      </c>
      <c r="N39" s="141"/>
      <c r="O39" s="113"/>
      <c r="P39" s="117"/>
      <c r="Q39" s="115"/>
      <c r="R39" s="26"/>
      <c r="S39" s="9"/>
      <c r="T39" s="27"/>
      <c r="U39" s="113"/>
      <c r="V39" s="116"/>
      <c r="W39" s="139"/>
      <c r="X39" s="206">
        <f t="shared" si="1"/>
        <v>0</v>
      </c>
      <c r="Y39" s="141"/>
      <c r="Z39" s="113"/>
      <c r="AA39" s="113"/>
      <c r="AB39" s="113"/>
      <c r="AC39" s="26"/>
      <c r="AD39" s="9"/>
      <c r="AE39" s="27"/>
      <c r="AF39" s="28"/>
      <c r="AG39" s="44"/>
      <c r="AH39" s="48">
        <f t="shared" si="2"/>
        <v>0</v>
      </c>
      <c r="AI39" s="34"/>
      <c r="AJ39" s="40"/>
      <c r="AK39" s="39"/>
      <c r="AL39" s="39"/>
      <c r="AM39" s="39"/>
      <c r="AN39" s="34"/>
      <c r="AO39" s="35"/>
    </row>
    <row r="40" spans="1:41" ht="15.75" x14ac:dyDescent="0.25">
      <c r="A40" s="5">
        <v>31</v>
      </c>
      <c r="B40" s="49" t="s">
        <v>54</v>
      </c>
      <c r="C40" s="113"/>
      <c r="D40" s="119"/>
      <c r="E40" s="117"/>
      <c r="F40" s="115"/>
      <c r="G40" s="26"/>
      <c r="H40" s="9"/>
      <c r="I40" s="27"/>
      <c r="J40" s="113"/>
      <c r="K40" s="44"/>
      <c r="L40" s="139"/>
      <c r="M40" s="209">
        <f t="shared" si="0"/>
        <v>0</v>
      </c>
      <c r="N40" s="141"/>
      <c r="O40" s="113"/>
      <c r="P40" s="117"/>
      <c r="Q40" s="115"/>
      <c r="R40" s="26"/>
      <c r="S40" s="9"/>
      <c r="T40" s="27"/>
      <c r="U40" s="113"/>
      <c r="V40" s="116"/>
      <c r="W40" s="139"/>
      <c r="X40" s="206">
        <f t="shared" si="1"/>
        <v>0</v>
      </c>
      <c r="Y40" s="141"/>
      <c r="Z40" s="113"/>
      <c r="AA40" s="113"/>
      <c r="AB40" s="113"/>
      <c r="AC40" s="26"/>
      <c r="AD40" s="9"/>
      <c r="AE40" s="27"/>
      <c r="AF40" s="28"/>
      <c r="AG40" s="44"/>
      <c r="AH40" s="48">
        <f t="shared" si="2"/>
        <v>0</v>
      </c>
      <c r="AI40" s="34"/>
      <c r="AJ40" s="40"/>
      <c r="AK40" s="39"/>
      <c r="AL40" s="39"/>
      <c r="AM40" s="39"/>
      <c r="AN40" s="34"/>
      <c r="AO40" s="35"/>
    </row>
    <row r="41" spans="1:41" ht="15.75" x14ac:dyDescent="0.25">
      <c r="A41" s="5">
        <v>32</v>
      </c>
      <c r="B41" s="49" t="s">
        <v>55</v>
      </c>
      <c r="C41" s="113"/>
      <c r="D41" s="119"/>
      <c r="E41" s="117"/>
      <c r="F41" s="115"/>
      <c r="G41" s="26"/>
      <c r="H41" s="9"/>
      <c r="I41" s="27"/>
      <c r="J41" s="113"/>
      <c r="K41" s="44"/>
      <c r="L41" s="139"/>
      <c r="M41" s="209">
        <f t="shared" si="0"/>
        <v>0</v>
      </c>
      <c r="N41" s="141"/>
      <c r="O41" s="113"/>
      <c r="P41" s="117"/>
      <c r="Q41" s="115"/>
      <c r="R41" s="26"/>
      <c r="S41" s="9"/>
      <c r="T41" s="27"/>
      <c r="U41" s="113"/>
      <c r="V41" s="116"/>
      <c r="W41" s="139"/>
      <c r="X41" s="206">
        <f t="shared" si="1"/>
        <v>0</v>
      </c>
      <c r="Y41" s="141"/>
      <c r="Z41" s="113"/>
      <c r="AA41" s="113"/>
      <c r="AB41" s="113"/>
      <c r="AC41" s="26"/>
      <c r="AD41" s="9"/>
      <c r="AE41" s="27"/>
      <c r="AF41" s="28"/>
      <c r="AG41" s="44"/>
      <c r="AH41" s="48">
        <f t="shared" si="2"/>
        <v>0</v>
      </c>
      <c r="AI41" s="34"/>
      <c r="AJ41" s="40"/>
      <c r="AK41" s="39"/>
      <c r="AL41" s="39"/>
      <c r="AM41" s="39"/>
      <c r="AN41" s="34"/>
      <c r="AO41" s="35"/>
    </row>
    <row r="42" spans="1:41" ht="15.75" x14ac:dyDescent="0.25">
      <c r="A42" s="5">
        <v>33</v>
      </c>
      <c r="B42" s="49" t="s">
        <v>56</v>
      </c>
      <c r="C42" s="113"/>
      <c r="D42" s="119"/>
      <c r="E42" s="117"/>
      <c r="F42" s="115"/>
      <c r="G42" s="26"/>
      <c r="H42" s="9"/>
      <c r="I42" s="27"/>
      <c r="J42" s="113"/>
      <c r="K42" s="44"/>
      <c r="L42" s="139"/>
      <c r="M42" s="209">
        <f t="shared" si="0"/>
        <v>0</v>
      </c>
      <c r="N42" s="141"/>
      <c r="O42" s="113"/>
      <c r="P42" s="117"/>
      <c r="Q42" s="115"/>
      <c r="R42" s="26"/>
      <c r="S42" s="9"/>
      <c r="T42" s="27"/>
      <c r="U42" s="113"/>
      <c r="V42" s="116"/>
      <c r="W42" s="139"/>
      <c r="X42" s="206">
        <f t="shared" si="1"/>
        <v>0</v>
      </c>
      <c r="Y42" s="141"/>
      <c r="Z42" s="113"/>
      <c r="AA42" s="113"/>
      <c r="AB42" s="113"/>
      <c r="AC42" s="26"/>
      <c r="AD42" s="9"/>
      <c r="AE42" s="27"/>
      <c r="AF42" s="28"/>
      <c r="AG42" s="44"/>
      <c r="AH42" s="48">
        <f t="shared" si="2"/>
        <v>0</v>
      </c>
      <c r="AI42" s="34"/>
      <c r="AJ42" s="40"/>
      <c r="AK42" s="39"/>
      <c r="AL42" s="39"/>
      <c r="AM42" s="39"/>
      <c r="AN42" s="34"/>
      <c r="AO42" s="35"/>
    </row>
    <row r="43" spans="1:41" ht="15.75" x14ac:dyDescent="0.25">
      <c r="A43" s="5">
        <v>34</v>
      </c>
      <c r="B43" s="49" t="s">
        <v>57</v>
      </c>
      <c r="C43" s="113"/>
      <c r="D43" s="119"/>
      <c r="E43" s="117"/>
      <c r="F43" s="115"/>
      <c r="G43" s="26"/>
      <c r="H43" s="9"/>
      <c r="I43" s="27"/>
      <c r="J43" s="113"/>
      <c r="K43" s="44"/>
      <c r="L43" s="139"/>
      <c r="M43" s="209">
        <f t="shared" si="0"/>
        <v>0</v>
      </c>
      <c r="N43" s="141"/>
      <c r="O43" s="113"/>
      <c r="P43" s="117"/>
      <c r="Q43" s="115"/>
      <c r="R43" s="26"/>
      <c r="S43" s="9"/>
      <c r="T43" s="27"/>
      <c r="U43" s="113"/>
      <c r="V43" s="116"/>
      <c r="W43" s="139"/>
      <c r="X43" s="206">
        <f t="shared" si="1"/>
        <v>0</v>
      </c>
      <c r="Y43" s="141"/>
      <c r="Z43" s="113"/>
      <c r="AA43" s="113"/>
      <c r="AB43" s="113"/>
      <c r="AC43" s="26"/>
      <c r="AD43" s="9"/>
      <c r="AE43" s="27"/>
      <c r="AF43" s="28"/>
      <c r="AG43" s="44"/>
      <c r="AH43" s="48">
        <f t="shared" si="2"/>
        <v>0</v>
      </c>
      <c r="AI43" s="34"/>
      <c r="AJ43" s="40"/>
      <c r="AK43" s="39"/>
      <c r="AL43" s="39"/>
      <c r="AM43" s="39"/>
      <c r="AN43" s="34"/>
      <c r="AO43" s="35"/>
    </row>
    <row r="44" spans="1:41" ht="15.75" x14ac:dyDescent="0.25">
      <c r="A44" s="5">
        <v>35</v>
      </c>
      <c r="B44" s="49" t="s">
        <v>58</v>
      </c>
      <c r="C44" s="113"/>
      <c r="D44" s="119"/>
      <c r="E44" s="117"/>
      <c r="F44" s="115"/>
      <c r="G44" s="26"/>
      <c r="H44" s="9"/>
      <c r="I44" s="27"/>
      <c r="J44" s="113"/>
      <c r="K44" s="44"/>
      <c r="L44" s="139"/>
      <c r="M44" s="209">
        <f t="shared" si="0"/>
        <v>0</v>
      </c>
      <c r="N44" s="141"/>
      <c r="O44" s="113"/>
      <c r="P44" s="117"/>
      <c r="Q44" s="115"/>
      <c r="R44" s="26"/>
      <c r="S44" s="9"/>
      <c r="T44" s="27"/>
      <c r="U44" s="113"/>
      <c r="V44" s="116"/>
      <c r="W44" s="139"/>
      <c r="X44" s="206">
        <f t="shared" si="1"/>
        <v>0</v>
      </c>
      <c r="Y44" s="141"/>
      <c r="Z44" s="113"/>
      <c r="AA44" s="113"/>
      <c r="AB44" s="113"/>
      <c r="AC44" s="26"/>
      <c r="AD44" s="9"/>
      <c r="AE44" s="27"/>
      <c r="AF44" s="28"/>
      <c r="AG44" s="44"/>
      <c r="AH44" s="48">
        <f t="shared" si="2"/>
        <v>0</v>
      </c>
      <c r="AI44" s="34"/>
      <c r="AJ44" s="40"/>
      <c r="AK44" s="39"/>
      <c r="AL44" s="39"/>
      <c r="AM44" s="39"/>
      <c r="AN44" s="34"/>
      <c r="AO44" s="35"/>
    </row>
    <row r="45" spans="1:41" ht="15.75" x14ac:dyDescent="0.25">
      <c r="A45" s="5">
        <v>36</v>
      </c>
      <c r="B45" s="49" t="s">
        <v>59</v>
      </c>
      <c r="C45" s="113"/>
      <c r="D45" s="119"/>
      <c r="E45" s="117"/>
      <c r="F45" s="115"/>
      <c r="G45" s="26"/>
      <c r="H45" s="9"/>
      <c r="I45" s="27"/>
      <c r="J45" s="113"/>
      <c r="K45" s="44"/>
      <c r="L45" s="139"/>
      <c r="M45" s="209">
        <f t="shared" si="0"/>
        <v>0</v>
      </c>
      <c r="N45" s="141"/>
      <c r="O45" s="113"/>
      <c r="P45" s="117"/>
      <c r="Q45" s="115"/>
      <c r="R45" s="26"/>
      <c r="S45" s="9"/>
      <c r="T45" s="27"/>
      <c r="U45" s="113"/>
      <c r="V45" s="116"/>
      <c r="W45" s="139"/>
      <c r="X45" s="206">
        <f t="shared" si="1"/>
        <v>0</v>
      </c>
      <c r="Y45" s="141"/>
      <c r="Z45" s="113"/>
      <c r="AA45" s="113"/>
      <c r="AB45" s="113"/>
      <c r="AC45" s="26"/>
      <c r="AD45" s="9"/>
      <c r="AE45" s="27"/>
      <c r="AF45" s="28"/>
      <c r="AG45" s="44"/>
      <c r="AH45" s="48">
        <f t="shared" si="2"/>
        <v>0</v>
      </c>
      <c r="AI45" s="34"/>
      <c r="AJ45" s="40"/>
      <c r="AK45" s="39"/>
      <c r="AL45" s="39"/>
      <c r="AM45" s="39"/>
      <c r="AN45" s="34"/>
      <c r="AO45" s="35"/>
    </row>
    <row r="46" spans="1:41" ht="15.75" x14ac:dyDescent="0.25">
      <c r="A46" s="5">
        <v>37</v>
      </c>
      <c r="B46" s="49" t="s">
        <v>60</v>
      </c>
      <c r="C46" s="113"/>
      <c r="D46" s="119"/>
      <c r="E46" s="117"/>
      <c r="F46" s="115"/>
      <c r="G46" s="26"/>
      <c r="H46" s="9"/>
      <c r="I46" s="27"/>
      <c r="J46" s="113"/>
      <c r="K46" s="44"/>
      <c r="L46" s="139"/>
      <c r="M46" s="209">
        <f t="shared" si="0"/>
        <v>0</v>
      </c>
      <c r="N46" s="141"/>
      <c r="O46" s="113"/>
      <c r="P46" s="117"/>
      <c r="Q46" s="115"/>
      <c r="R46" s="26"/>
      <c r="S46" s="9"/>
      <c r="T46" s="27"/>
      <c r="U46" s="113"/>
      <c r="V46" s="116"/>
      <c r="W46" s="139"/>
      <c r="X46" s="206">
        <f t="shared" si="1"/>
        <v>0</v>
      </c>
      <c r="Y46" s="141"/>
      <c r="Z46" s="113"/>
      <c r="AA46" s="113"/>
      <c r="AB46" s="113"/>
      <c r="AC46" s="26"/>
      <c r="AD46" s="9"/>
      <c r="AE46" s="27"/>
      <c r="AF46" s="28"/>
      <c r="AG46" s="44"/>
      <c r="AH46" s="48">
        <f t="shared" si="2"/>
        <v>0</v>
      </c>
      <c r="AI46" s="34"/>
      <c r="AJ46" s="40"/>
      <c r="AK46" s="39"/>
      <c r="AL46" s="39"/>
      <c r="AM46" s="39"/>
      <c r="AN46" s="34"/>
      <c r="AO46" s="35"/>
    </row>
    <row r="47" spans="1:41" ht="15.75" x14ac:dyDescent="0.25">
      <c r="A47" s="5">
        <v>38</v>
      </c>
      <c r="B47" s="49" t="s">
        <v>61</v>
      </c>
      <c r="C47" s="113"/>
      <c r="D47" s="119"/>
      <c r="E47" s="117"/>
      <c r="F47" s="115"/>
      <c r="G47" s="26"/>
      <c r="H47" s="9"/>
      <c r="I47" s="27"/>
      <c r="J47" s="113"/>
      <c r="K47" s="44"/>
      <c r="L47" s="139"/>
      <c r="M47" s="209">
        <f t="shared" si="0"/>
        <v>0</v>
      </c>
      <c r="N47" s="141"/>
      <c r="O47" s="113"/>
      <c r="P47" s="117"/>
      <c r="Q47" s="115"/>
      <c r="R47" s="26"/>
      <c r="S47" s="9"/>
      <c r="T47" s="27"/>
      <c r="U47" s="113"/>
      <c r="V47" s="116"/>
      <c r="W47" s="139"/>
      <c r="X47" s="206">
        <f t="shared" si="1"/>
        <v>0</v>
      </c>
      <c r="Y47" s="141"/>
      <c r="Z47" s="113"/>
      <c r="AA47" s="113"/>
      <c r="AB47" s="113"/>
      <c r="AC47" s="26"/>
      <c r="AD47" s="9"/>
      <c r="AE47" s="27"/>
      <c r="AF47" s="28"/>
      <c r="AG47" s="44"/>
      <c r="AH47" s="48">
        <f t="shared" si="2"/>
        <v>0</v>
      </c>
      <c r="AI47" s="34"/>
      <c r="AJ47" s="40"/>
      <c r="AK47" s="39"/>
      <c r="AL47" s="39"/>
      <c r="AM47" s="39"/>
      <c r="AN47" s="34"/>
      <c r="AO47" s="35"/>
    </row>
    <row r="48" spans="1:41" ht="15.75" x14ac:dyDescent="0.25">
      <c r="A48" s="5">
        <v>39</v>
      </c>
      <c r="B48" s="49" t="s">
        <v>62</v>
      </c>
      <c r="C48" s="113"/>
      <c r="D48" s="119"/>
      <c r="E48" s="117"/>
      <c r="F48" s="115"/>
      <c r="G48" s="26"/>
      <c r="H48" s="9"/>
      <c r="I48" s="27"/>
      <c r="J48" s="113"/>
      <c r="K48" s="44"/>
      <c r="L48" s="139"/>
      <c r="M48" s="209">
        <f t="shared" si="0"/>
        <v>0</v>
      </c>
      <c r="N48" s="141"/>
      <c r="O48" s="113"/>
      <c r="P48" s="117"/>
      <c r="Q48" s="115"/>
      <c r="R48" s="26"/>
      <c r="S48" s="9"/>
      <c r="T48" s="27"/>
      <c r="U48" s="113"/>
      <c r="V48" s="116"/>
      <c r="W48" s="139"/>
      <c r="X48" s="206">
        <f t="shared" si="1"/>
        <v>0</v>
      </c>
      <c r="Y48" s="141"/>
      <c r="Z48" s="113"/>
      <c r="AA48" s="113"/>
      <c r="AB48" s="113"/>
      <c r="AC48" s="26"/>
      <c r="AD48" s="9"/>
      <c r="AE48" s="27"/>
      <c r="AF48" s="28"/>
      <c r="AG48" s="44"/>
      <c r="AH48" s="48">
        <f t="shared" si="2"/>
        <v>0</v>
      </c>
      <c r="AI48" s="34"/>
      <c r="AJ48" s="40"/>
      <c r="AK48" s="39"/>
      <c r="AL48" s="39"/>
      <c r="AM48" s="39"/>
      <c r="AN48" s="34"/>
      <c r="AO48" s="35"/>
    </row>
    <row r="49" spans="1:41" x14ac:dyDescent="0.25">
      <c r="A49" s="5"/>
      <c r="B49" s="43"/>
      <c r="C49" s="113"/>
      <c r="D49" s="113"/>
      <c r="E49" s="117"/>
      <c r="F49" s="115"/>
      <c r="G49" s="26"/>
      <c r="H49" s="9"/>
      <c r="I49" s="27"/>
      <c r="J49" s="113"/>
      <c r="K49" s="44"/>
      <c r="L49" s="139"/>
      <c r="M49" s="210"/>
      <c r="N49" s="141"/>
      <c r="O49" s="113"/>
      <c r="P49" s="117"/>
      <c r="Q49" s="115"/>
      <c r="R49" s="26"/>
      <c r="S49" s="9"/>
      <c r="T49" s="27"/>
      <c r="U49" s="113"/>
      <c r="V49" s="44"/>
      <c r="W49" s="139"/>
      <c r="X49" s="206"/>
      <c r="Y49" s="141"/>
      <c r="Z49" s="113"/>
      <c r="AA49" s="113"/>
      <c r="AB49" s="113"/>
      <c r="AC49" s="26"/>
      <c r="AD49" s="9"/>
      <c r="AE49" s="27"/>
      <c r="AF49" s="28"/>
      <c r="AG49" s="44"/>
      <c r="AH49" s="48"/>
      <c r="AI49" s="34"/>
      <c r="AJ49" s="40"/>
      <c r="AK49" s="39"/>
      <c r="AL49" s="39"/>
      <c r="AM49" s="39"/>
      <c r="AN49" s="34"/>
      <c r="AO49" s="35"/>
    </row>
    <row r="50" spans="1:41" x14ac:dyDescent="0.25">
      <c r="A50" s="5"/>
      <c r="B50" s="43"/>
      <c r="C50" s="113"/>
      <c r="D50" s="113"/>
      <c r="E50" s="117"/>
      <c r="F50" s="115"/>
      <c r="G50" s="26"/>
      <c r="H50" s="9"/>
      <c r="I50" s="27"/>
      <c r="J50" s="113"/>
      <c r="K50" s="44"/>
      <c r="L50" s="139"/>
      <c r="M50" s="210"/>
      <c r="N50" s="141"/>
      <c r="O50" s="113"/>
      <c r="P50" s="117"/>
      <c r="Q50" s="115"/>
      <c r="R50" s="26"/>
      <c r="S50" s="9"/>
      <c r="T50" s="27"/>
      <c r="U50" s="113"/>
      <c r="V50" s="44"/>
      <c r="W50" s="139"/>
      <c r="X50" s="207"/>
      <c r="Y50" s="141"/>
      <c r="Z50" s="113"/>
      <c r="AA50" s="113"/>
      <c r="AB50" s="113"/>
      <c r="AC50" s="26"/>
      <c r="AD50" s="9"/>
      <c r="AE50" s="27"/>
      <c r="AF50" s="28"/>
      <c r="AG50" s="44"/>
      <c r="AH50" s="48"/>
      <c r="AI50" s="34"/>
      <c r="AJ50" s="40"/>
      <c r="AK50" s="39"/>
      <c r="AL50" s="39"/>
      <c r="AM50" s="39"/>
      <c r="AN50" s="34"/>
      <c r="AO50" s="35"/>
    </row>
    <row r="51" spans="1:41" ht="15.75" thickBot="1" x14ac:dyDescent="0.3">
      <c r="A51" s="5"/>
      <c r="B51" s="43"/>
      <c r="C51" s="113"/>
      <c r="D51" s="113"/>
      <c r="E51" s="117"/>
      <c r="F51" s="115"/>
      <c r="G51" s="26"/>
      <c r="H51" s="9"/>
      <c r="I51" s="27"/>
      <c r="J51" s="113"/>
      <c r="K51" s="44"/>
      <c r="L51" s="139"/>
      <c r="M51" s="211"/>
      <c r="N51" s="141"/>
      <c r="O51" s="113"/>
      <c r="P51" s="117"/>
      <c r="Q51" s="115"/>
      <c r="R51" s="26"/>
      <c r="S51" s="9"/>
      <c r="T51" s="27"/>
      <c r="U51" s="113"/>
      <c r="V51" s="44"/>
      <c r="W51" s="139"/>
      <c r="X51" s="208"/>
      <c r="Y51" s="141"/>
      <c r="Z51" s="113"/>
      <c r="AA51" s="113"/>
      <c r="AB51" s="113"/>
      <c r="AC51" s="26"/>
      <c r="AD51" s="9"/>
      <c r="AE51" s="27"/>
      <c r="AF51" s="28"/>
      <c r="AG51" s="44"/>
      <c r="AH51" s="48"/>
      <c r="AI51" s="34"/>
      <c r="AJ51" s="40"/>
      <c r="AK51" s="39"/>
      <c r="AL51" s="39"/>
      <c r="AM51" s="39"/>
      <c r="AN51" s="34"/>
      <c r="AO51" s="35"/>
    </row>
    <row r="52" spans="1:41" x14ac:dyDescent="0.25"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</row>
    <row r="53" spans="1:41" x14ac:dyDescent="0.25"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</row>
    <row r="54" spans="1:41" x14ac:dyDescent="0.25"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</row>
    <row r="55" spans="1:41" x14ac:dyDescent="0.25"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</row>
    <row r="56" spans="1:41" x14ac:dyDescent="0.25"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</row>
    <row r="57" spans="1:41" x14ac:dyDescent="0.25"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</row>
    <row r="58" spans="1:41" x14ac:dyDescent="0.25"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</row>
    <row r="59" spans="1:41" x14ac:dyDescent="0.25"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</row>
    <row r="60" spans="1:41" x14ac:dyDescent="0.25"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</row>
    <row r="61" spans="1:41" x14ac:dyDescent="0.25"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</row>
    <row r="62" spans="1:41" x14ac:dyDescent="0.25"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</row>
    <row r="63" spans="1:41" x14ac:dyDescent="0.25"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</row>
    <row r="64" spans="1:41" x14ac:dyDescent="0.25"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</row>
    <row r="65" spans="26:41" x14ac:dyDescent="0.25"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</row>
    <row r="66" spans="26:41" x14ac:dyDescent="0.25"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</row>
    <row r="67" spans="26:41" x14ac:dyDescent="0.25"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</row>
    <row r="68" spans="26:41" x14ac:dyDescent="0.25"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</row>
    <row r="69" spans="26:41" x14ac:dyDescent="0.25"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</row>
    <row r="70" spans="26:41" x14ac:dyDescent="0.25"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</row>
    <row r="71" spans="26:41" x14ac:dyDescent="0.25"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</row>
    <row r="72" spans="26:41" x14ac:dyDescent="0.25"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</row>
  </sheetData>
  <mergeCells count="10">
    <mergeCell ref="F2:R3"/>
    <mergeCell ref="C6:L6"/>
    <mergeCell ref="N8:W8"/>
    <mergeCell ref="N6:W6"/>
    <mergeCell ref="Y6:AH6"/>
    <mergeCell ref="Y7:AH7"/>
    <mergeCell ref="Y8:AH8"/>
    <mergeCell ref="C7:L7"/>
    <mergeCell ref="C8:L8"/>
    <mergeCell ref="N7:W7"/>
  </mergeCells>
  <phoneticPr fontId="22" type="noConversion"/>
  <conditionalFormatting sqref="AI7:AI51 AN7:AN51">
    <cfRule type="containsText" dxfId="12" priority="9" operator="containsText" text="FAILED">
      <formula>NOT(ISERROR(SEARCH("FAILED",AI7)))</formula>
    </cfRule>
  </conditionalFormatting>
  <conditionalFormatting sqref="AK7:AM51">
    <cfRule type="cellIs" dxfId="11" priority="1" operator="lessThan">
      <formula>75</formula>
    </cfRule>
  </conditionalFormatting>
  <pageMargins left="0.7" right="0.7" top="0.75" bottom="0.75" header="0.3" footer="0.3"/>
  <pageSetup paperSize="5" scale="65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02AD9-E22A-46AB-AE09-C0006EDB19A6}">
  <dimension ref="A1:AL49"/>
  <sheetViews>
    <sheetView tabSelected="1" topLeftCell="A4" zoomScale="90" zoomScaleNormal="90" workbookViewId="0">
      <selection activeCell="AI10" sqref="AI10"/>
    </sheetView>
  </sheetViews>
  <sheetFormatPr defaultRowHeight="15" x14ac:dyDescent="0.25"/>
  <cols>
    <col min="2" max="2" width="44.5703125" customWidth="1"/>
    <col min="4" max="4" width="4.42578125" customWidth="1"/>
    <col min="5" max="5" width="1.5703125" customWidth="1"/>
    <col min="24" max="24" width="19.140625" customWidth="1"/>
    <col min="29" max="29" width="10.85546875" customWidth="1"/>
    <col min="32" max="32" width="10.5703125" customWidth="1"/>
    <col min="33" max="33" width="19.5703125" customWidth="1"/>
    <col min="35" max="35" width="23.140625" customWidth="1"/>
    <col min="36" max="36" width="20.28515625" customWidth="1"/>
  </cols>
  <sheetData>
    <row r="1" spans="1:38" x14ac:dyDescent="0.25">
      <c r="B1" s="16" t="str">
        <f>Attendance!B1</f>
        <v>SUBJECT: COMP 1</v>
      </c>
      <c r="C1" s="168" t="s">
        <v>8</v>
      </c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</row>
    <row r="2" spans="1:38" x14ac:dyDescent="0.25">
      <c r="B2" s="16" t="str">
        <f>Attendance!B2</f>
        <v>COURSE/YEAR: BSIT 1A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</row>
    <row r="3" spans="1:38" x14ac:dyDescent="0.25">
      <c r="B3" s="16" t="str">
        <f>Attendance!B3</f>
        <v xml:space="preserve">TIME: 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</row>
    <row r="4" spans="1:38" x14ac:dyDescent="0.25">
      <c r="B4" s="16" t="str">
        <f>Attendance!B4</f>
        <v xml:space="preserve">ROOM: </v>
      </c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</row>
    <row r="5" spans="1:38" x14ac:dyDescent="0.25">
      <c r="B5" s="16" t="str">
        <f>Attendance!B5</f>
        <v xml:space="preserve">UNITS: </v>
      </c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</row>
    <row r="6" spans="1:38" ht="15.75" thickBot="1" x14ac:dyDescent="0.3">
      <c r="A6" s="1"/>
      <c r="B6" s="2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I6" s="20" t="s">
        <v>9</v>
      </c>
      <c r="AJ6" s="19"/>
      <c r="AK6" s="19"/>
      <c r="AL6" s="19"/>
    </row>
    <row r="7" spans="1:38" ht="29.25" thickBot="1" x14ac:dyDescent="0.5">
      <c r="C7" s="152" t="s">
        <v>70</v>
      </c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4" t="s">
        <v>71</v>
      </c>
      <c r="Z7" s="155"/>
      <c r="AA7" s="155"/>
      <c r="AB7" s="155"/>
      <c r="AC7" s="155"/>
      <c r="AD7" s="155"/>
      <c r="AE7" s="155"/>
      <c r="AF7" s="155"/>
      <c r="AG7" s="156"/>
      <c r="AI7" s="212" t="s">
        <v>4</v>
      </c>
      <c r="AJ7" s="214" t="s">
        <v>2</v>
      </c>
    </row>
    <row r="8" spans="1:38" ht="15.75" thickBot="1" x14ac:dyDescent="0.3">
      <c r="A8" s="3"/>
      <c r="B8" s="72" t="s">
        <v>0</v>
      </c>
      <c r="C8" s="169" t="s">
        <v>1</v>
      </c>
      <c r="D8" s="170"/>
      <c r="E8" s="171"/>
      <c r="F8" s="172" t="s">
        <v>72</v>
      </c>
      <c r="G8" s="170"/>
      <c r="H8" s="170"/>
      <c r="I8" s="170"/>
      <c r="J8" s="170"/>
      <c r="K8" s="170"/>
      <c r="L8" s="170"/>
      <c r="M8" s="170"/>
      <c r="N8" s="170"/>
      <c r="O8" s="171"/>
      <c r="P8" s="162" t="s">
        <v>73</v>
      </c>
      <c r="Q8" s="163"/>
      <c r="R8" s="163"/>
      <c r="S8" s="163"/>
      <c r="T8" s="163"/>
      <c r="U8" s="163"/>
      <c r="V8" s="163"/>
      <c r="W8" s="164"/>
      <c r="X8" s="97" t="s">
        <v>77</v>
      </c>
      <c r="Y8" s="180" t="s">
        <v>74</v>
      </c>
      <c r="Z8" s="181"/>
      <c r="AA8" s="181"/>
      <c r="AB8" s="182"/>
      <c r="AC8" s="186" t="s">
        <v>75</v>
      </c>
      <c r="AD8" s="186"/>
      <c r="AE8" s="186"/>
      <c r="AF8" s="187"/>
      <c r="AG8" s="98" t="s">
        <v>78</v>
      </c>
      <c r="AI8" s="213" t="s">
        <v>3</v>
      </c>
      <c r="AJ8" s="92"/>
    </row>
    <row r="9" spans="1:38" ht="16.5" thickTop="1" thickBot="1" x14ac:dyDescent="0.3">
      <c r="A9" s="5"/>
      <c r="B9" s="120"/>
      <c r="C9" s="173"/>
      <c r="D9" s="174"/>
      <c r="E9" s="175"/>
      <c r="F9" s="176">
        <v>0.25</v>
      </c>
      <c r="G9" s="177"/>
      <c r="H9" s="177"/>
      <c r="I9" s="177"/>
      <c r="J9" s="177"/>
      <c r="K9" s="177"/>
      <c r="L9" s="177"/>
      <c r="M9" s="178"/>
      <c r="N9" s="178"/>
      <c r="O9" s="179"/>
      <c r="P9" s="165">
        <v>0.35</v>
      </c>
      <c r="Q9" s="166"/>
      <c r="R9" s="166"/>
      <c r="S9" s="166"/>
      <c r="T9" s="166"/>
      <c r="U9" s="166"/>
      <c r="V9" s="166"/>
      <c r="W9" s="167"/>
      <c r="X9" s="96">
        <v>0.6</v>
      </c>
      <c r="Y9" s="183" t="s">
        <v>76</v>
      </c>
      <c r="Z9" s="184"/>
      <c r="AA9" s="184"/>
      <c r="AB9" s="185"/>
      <c r="AC9" s="188">
        <v>0.25</v>
      </c>
      <c r="AD9" s="188"/>
      <c r="AE9" s="188"/>
      <c r="AF9" s="189"/>
      <c r="AG9" s="100">
        <v>0.4</v>
      </c>
      <c r="AI9" s="112">
        <v>1</v>
      </c>
      <c r="AJ9" s="93"/>
    </row>
    <row r="10" spans="1:38" ht="15.75" thickBot="1" x14ac:dyDescent="0.3">
      <c r="A10" s="7"/>
      <c r="B10" s="121"/>
      <c r="C10" s="157">
        <v>5</v>
      </c>
      <c r="D10" s="158"/>
      <c r="E10" s="158"/>
      <c r="F10" s="77">
        <v>50</v>
      </c>
      <c r="G10" s="78">
        <v>50</v>
      </c>
      <c r="H10" s="78">
        <v>50</v>
      </c>
      <c r="I10" s="79"/>
      <c r="J10" s="76"/>
      <c r="K10" s="76"/>
      <c r="L10" s="84"/>
      <c r="M10" s="87">
        <f>SUM(F10:L10)</f>
        <v>150</v>
      </c>
      <c r="N10" s="88">
        <f>(M10/SUM(($F$10:$L$10))*50+50)</f>
        <v>100</v>
      </c>
      <c r="O10" s="89">
        <f>N10*0.25</f>
        <v>25</v>
      </c>
      <c r="P10" s="73">
        <v>50</v>
      </c>
      <c r="Q10" s="74">
        <v>50</v>
      </c>
      <c r="R10" s="74"/>
      <c r="S10" s="75"/>
      <c r="T10" s="75"/>
      <c r="U10" s="95">
        <f>SUM(P10:T10)</f>
        <v>100</v>
      </c>
      <c r="V10" s="101">
        <f>(U10/SUM(($P$10:$T$10))*50+50)</f>
        <v>100</v>
      </c>
      <c r="W10" s="102">
        <f>V10*0.35</f>
        <v>35</v>
      </c>
      <c r="X10" s="103">
        <f>O10+W10</f>
        <v>60</v>
      </c>
      <c r="Y10" s="73">
        <v>100</v>
      </c>
      <c r="Z10" s="104">
        <v>50</v>
      </c>
      <c r="AA10" s="108">
        <f>SUM(Y10:Z10)</f>
        <v>150</v>
      </c>
      <c r="AB10" s="109">
        <f>((AA10/SUM(($Y$10:$Z$10))*50+50)*0.15)</f>
        <v>15</v>
      </c>
      <c r="AC10" s="107">
        <v>50</v>
      </c>
      <c r="AD10" s="80">
        <v>50</v>
      </c>
      <c r="AE10" s="110">
        <f>SUM(AC10:AD10)</f>
        <v>100</v>
      </c>
      <c r="AF10" s="99">
        <f>((AE10/SUM(($AC$10:$AD$10))*50+50)*0.25)</f>
        <v>25</v>
      </c>
      <c r="AG10" s="111">
        <f>AB10+AF10</f>
        <v>40</v>
      </c>
      <c r="AI10" s="45">
        <f>X10+AG10</f>
        <v>100</v>
      </c>
      <c r="AJ10" s="94" t="str">
        <f>IF(AI10&lt;74.5,"FAILED","PASSED")</f>
        <v>PASSED</v>
      </c>
    </row>
    <row r="11" spans="1:38" ht="15.75" thickBot="1" x14ac:dyDescent="0.3">
      <c r="A11" s="10">
        <v>1</v>
      </c>
      <c r="B11" s="122" t="str">
        <f>Attendance!B11</f>
        <v>ASPE. SOPHIA ERICKA PACIENCIA</v>
      </c>
      <c r="C11" s="159">
        <f>Attendance!M10</f>
        <v>5</v>
      </c>
      <c r="D11" s="160"/>
      <c r="E11" s="161"/>
      <c r="F11" s="132"/>
      <c r="G11" s="126"/>
      <c r="H11" s="55"/>
      <c r="I11" s="127"/>
      <c r="J11" s="124"/>
      <c r="K11" s="50"/>
      <c r="L11" s="85"/>
      <c r="M11" s="90">
        <f t="shared" ref="M11:M49" si="0">SUM(F11:L11)</f>
        <v>0</v>
      </c>
      <c r="N11" s="88">
        <f t="shared" ref="N11:N49" si="1">(M11/SUM(($F$10:$L$10))*50+50)</f>
        <v>50</v>
      </c>
      <c r="O11" s="83">
        <f t="shared" ref="O11:O49" si="2">N11*0.25</f>
        <v>12.5</v>
      </c>
      <c r="P11" s="66"/>
      <c r="Q11" s="55"/>
      <c r="R11" s="55"/>
      <c r="S11" s="56"/>
      <c r="T11" s="56"/>
      <c r="U11" s="95">
        <f t="shared" ref="U11:U49" si="3">SUM(P11:T11)</f>
        <v>0</v>
      </c>
      <c r="V11" s="101">
        <f t="shared" ref="V11:V49" si="4">(U11/SUM(($P$10:$T$10))*50+50)</f>
        <v>50</v>
      </c>
      <c r="W11" s="102">
        <f t="shared" ref="W11:W49" si="5">V11*0.35</f>
        <v>17.5</v>
      </c>
      <c r="X11" s="103">
        <f t="shared" ref="X11:X49" si="6">O11+W11</f>
        <v>30</v>
      </c>
      <c r="Y11" s="66"/>
      <c r="Z11" s="105"/>
      <c r="AA11" s="108">
        <f t="shared" ref="AA11:AA49" si="7">SUM(Y11:Z11)</f>
        <v>0</v>
      </c>
      <c r="AB11" s="109">
        <f t="shared" ref="AB11:AB49" si="8">((AA11/SUM(($Y$10:$Z$10))*50+50)*0.15)</f>
        <v>7.5</v>
      </c>
      <c r="AC11" s="107"/>
      <c r="AD11" s="81"/>
      <c r="AE11" s="110">
        <f t="shared" ref="AE11:AE49" si="9">SUM(AC11:AD11)</f>
        <v>0</v>
      </c>
      <c r="AF11" s="99">
        <f t="shared" ref="AF11:AF49" si="10">((AE11/SUM(($AC$10:$AD$10))*50+50)*0.25)</f>
        <v>12.5</v>
      </c>
      <c r="AG11" s="111">
        <f t="shared" ref="AG11:AG49" si="11">AB11+AF11</f>
        <v>20</v>
      </c>
      <c r="AI11" s="45">
        <f t="shared" ref="AI11:AI49" si="12">X11+AG11</f>
        <v>50</v>
      </c>
      <c r="AJ11" s="94" t="str">
        <f>IF(AI11&lt;74.5,"FAILED","PASSED")</f>
        <v>FAILED</v>
      </c>
    </row>
    <row r="12" spans="1:38" ht="15.75" thickBot="1" x14ac:dyDescent="0.3">
      <c r="A12" s="5">
        <v>2</v>
      </c>
      <c r="B12" s="122" t="str">
        <f>Attendance!B12</f>
        <v>ATONDUCAN. VINCE ASHLEY PAREÑAS</v>
      </c>
      <c r="C12" s="146">
        <f>Attendance!M11</f>
        <v>0</v>
      </c>
      <c r="D12" s="147"/>
      <c r="E12" s="148"/>
      <c r="F12" s="132"/>
      <c r="G12" s="126"/>
      <c r="H12" s="55"/>
      <c r="I12" s="127"/>
      <c r="J12" s="124"/>
      <c r="K12" s="50"/>
      <c r="L12" s="85"/>
      <c r="M12" s="90">
        <f t="shared" si="0"/>
        <v>0</v>
      </c>
      <c r="N12" s="88">
        <f t="shared" si="1"/>
        <v>50</v>
      </c>
      <c r="O12" s="83">
        <f t="shared" si="2"/>
        <v>12.5</v>
      </c>
      <c r="P12" s="66"/>
      <c r="Q12" s="55"/>
      <c r="R12" s="55"/>
      <c r="S12" s="56"/>
      <c r="T12" s="56"/>
      <c r="U12" s="95">
        <f t="shared" si="3"/>
        <v>0</v>
      </c>
      <c r="V12" s="101">
        <f t="shared" si="4"/>
        <v>50</v>
      </c>
      <c r="W12" s="102">
        <f t="shared" si="5"/>
        <v>17.5</v>
      </c>
      <c r="X12" s="103">
        <f t="shared" si="6"/>
        <v>30</v>
      </c>
      <c r="Y12" s="66"/>
      <c r="Z12" s="105"/>
      <c r="AA12" s="108">
        <f t="shared" si="7"/>
        <v>0</v>
      </c>
      <c r="AB12" s="109">
        <f t="shared" si="8"/>
        <v>7.5</v>
      </c>
      <c r="AC12" s="107"/>
      <c r="AD12" s="81"/>
      <c r="AE12" s="110">
        <f t="shared" si="9"/>
        <v>0</v>
      </c>
      <c r="AF12" s="99">
        <f t="shared" si="10"/>
        <v>12.5</v>
      </c>
      <c r="AG12" s="111">
        <f t="shared" si="11"/>
        <v>20</v>
      </c>
      <c r="AI12" s="45">
        <f t="shared" si="12"/>
        <v>50</v>
      </c>
      <c r="AJ12" s="94" t="str">
        <f t="shared" ref="AJ12:AJ49" si="13">IF(AI12&lt;74.5,"FAILED","PASSED")</f>
        <v>FAILED</v>
      </c>
    </row>
    <row r="13" spans="1:38" ht="15.75" thickBot="1" x14ac:dyDescent="0.3">
      <c r="A13" s="10">
        <v>3</v>
      </c>
      <c r="B13" s="122" t="str">
        <f>Attendance!B13</f>
        <v>BLANCO. KLYDE JANDY SAYNES</v>
      </c>
      <c r="C13" s="146">
        <f>Attendance!M12</f>
        <v>0</v>
      </c>
      <c r="D13" s="147"/>
      <c r="E13" s="148"/>
      <c r="F13" s="132"/>
      <c r="G13" s="126"/>
      <c r="H13" s="55"/>
      <c r="I13" s="127"/>
      <c r="J13" s="124"/>
      <c r="K13" s="50"/>
      <c r="L13" s="85"/>
      <c r="M13" s="90">
        <f t="shared" si="0"/>
        <v>0</v>
      </c>
      <c r="N13" s="88">
        <f t="shared" si="1"/>
        <v>50</v>
      </c>
      <c r="O13" s="83">
        <f t="shared" si="2"/>
        <v>12.5</v>
      </c>
      <c r="P13" s="66"/>
      <c r="Q13" s="55"/>
      <c r="R13" s="55"/>
      <c r="S13" s="56"/>
      <c r="T13" s="56"/>
      <c r="U13" s="95">
        <f t="shared" si="3"/>
        <v>0</v>
      </c>
      <c r="V13" s="101">
        <f t="shared" si="4"/>
        <v>50</v>
      </c>
      <c r="W13" s="102">
        <f t="shared" si="5"/>
        <v>17.5</v>
      </c>
      <c r="X13" s="103">
        <f t="shared" si="6"/>
        <v>30</v>
      </c>
      <c r="Y13" s="66"/>
      <c r="Z13" s="105"/>
      <c r="AA13" s="108">
        <f t="shared" si="7"/>
        <v>0</v>
      </c>
      <c r="AB13" s="109">
        <f t="shared" si="8"/>
        <v>7.5</v>
      </c>
      <c r="AC13" s="107"/>
      <c r="AD13" s="81"/>
      <c r="AE13" s="110">
        <f t="shared" si="9"/>
        <v>0</v>
      </c>
      <c r="AF13" s="99">
        <f t="shared" si="10"/>
        <v>12.5</v>
      </c>
      <c r="AG13" s="111">
        <f t="shared" si="11"/>
        <v>20</v>
      </c>
      <c r="AI13" s="45">
        <f t="shared" si="12"/>
        <v>50</v>
      </c>
      <c r="AJ13" s="94" t="str">
        <f t="shared" si="13"/>
        <v>FAILED</v>
      </c>
    </row>
    <row r="14" spans="1:38" ht="15.75" thickBot="1" x14ac:dyDescent="0.3">
      <c r="A14" s="5">
        <v>4</v>
      </c>
      <c r="B14" s="122" t="str">
        <f>Attendance!B14</f>
        <v>BORROMEO. HARVEY KENT DUMALAG</v>
      </c>
      <c r="C14" s="146">
        <f>Attendance!M13</f>
        <v>0</v>
      </c>
      <c r="D14" s="147"/>
      <c r="E14" s="148"/>
      <c r="F14" s="132"/>
      <c r="G14" s="126"/>
      <c r="H14" s="55"/>
      <c r="I14" s="127"/>
      <c r="J14" s="124"/>
      <c r="K14" s="50"/>
      <c r="L14" s="85"/>
      <c r="M14" s="90">
        <f t="shared" si="0"/>
        <v>0</v>
      </c>
      <c r="N14" s="88">
        <f t="shared" si="1"/>
        <v>50</v>
      </c>
      <c r="O14" s="83">
        <f t="shared" si="2"/>
        <v>12.5</v>
      </c>
      <c r="P14" s="66"/>
      <c r="Q14" s="55"/>
      <c r="R14" s="55"/>
      <c r="S14" s="56"/>
      <c r="T14" s="56"/>
      <c r="U14" s="95">
        <f t="shared" si="3"/>
        <v>0</v>
      </c>
      <c r="V14" s="101">
        <f t="shared" si="4"/>
        <v>50</v>
      </c>
      <c r="W14" s="102">
        <f t="shared" si="5"/>
        <v>17.5</v>
      </c>
      <c r="X14" s="103">
        <f t="shared" si="6"/>
        <v>30</v>
      </c>
      <c r="Y14" s="66"/>
      <c r="Z14" s="105"/>
      <c r="AA14" s="108">
        <f t="shared" si="7"/>
        <v>0</v>
      </c>
      <c r="AB14" s="109">
        <f t="shared" si="8"/>
        <v>7.5</v>
      </c>
      <c r="AC14" s="107"/>
      <c r="AD14" s="81"/>
      <c r="AE14" s="110">
        <f t="shared" si="9"/>
        <v>0</v>
      </c>
      <c r="AF14" s="99">
        <f t="shared" si="10"/>
        <v>12.5</v>
      </c>
      <c r="AG14" s="111">
        <f t="shared" si="11"/>
        <v>20</v>
      </c>
      <c r="AI14" s="45">
        <f t="shared" si="12"/>
        <v>50</v>
      </c>
      <c r="AJ14" s="94" t="str">
        <f t="shared" si="13"/>
        <v>FAILED</v>
      </c>
    </row>
    <row r="15" spans="1:38" ht="15.75" thickBot="1" x14ac:dyDescent="0.3">
      <c r="A15" s="10">
        <v>5</v>
      </c>
      <c r="B15" s="122" t="str">
        <f>Attendance!B15</f>
        <v>CABAYA. SOPHIA LOREN JURILLA</v>
      </c>
      <c r="C15" s="146">
        <f>Attendance!M14</f>
        <v>0</v>
      </c>
      <c r="D15" s="147"/>
      <c r="E15" s="148"/>
      <c r="F15" s="132"/>
      <c r="G15" s="126"/>
      <c r="H15" s="55"/>
      <c r="I15" s="127"/>
      <c r="J15" s="124"/>
      <c r="K15" s="50"/>
      <c r="L15" s="85"/>
      <c r="M15" s="90">
        <f t="shared" si="0"/>
        <v>0</v>
      </c>
      <c r="N15" s="88">
        <f t="shared" si="1"/>
        <v>50</v>
      </c>
      <c r="O15" s="83">
        <f t="shared" si="2"/>
        <v>12.5</v>
      </c>
      <c r="P15" s="66"/>
      <c r="Q15" s="55"/>
      <c r="R15" s="55"/>
      <c r="S15" s="57"/>
      <c r="T15" s="56"/>
      <c r="U15" s="95">
        <f t="shared" si="3"/>
        <v>0</v>
      </c>
      <c r="V15" s="101">
        <f t="shared" si="4"/>
        <v>50</v>
      </c>
      <c r="W15" s="102">
        <f t="shared" si="5"/>
        <v>17.5</v>
      </c>
      <c r="X15" s="103">
        <f t="shared" si="6"/>
        <v>30</v>
      </c>
      <c r="Y15" s="66"/>
      <c r="Z15" s="105"/>
      <c r="AA15" s="108">
        <f t="shared" si="7"/>
        <v>0</v>
      </c>
      <c r="AB15" s="109">
        <f t="shared" si="8"/>
        <v>7.5</v>
      </c>
      <c r="AC15" s="107"/>
      <c r="AD15" s="81"/>
      <c r="AE15" s="110">
        <f t="shared" si="9"/>
        <v>0</v>
      </c>
      <c r="AF15" s="99">
        <f t="shared" si="10"/>
        <v>12.5</v>
      </c>
      <c r="AG15" s="111">
        <f t="shared" si="11"/>
        <v>20</v>
      </c>
      <c r="AI15" s="45">
        <f t="shared" si="12"/>
        <v>50</v>
      </c>
      <c r="AJ15" s="94" t="str">
        <f t="shared" si="13"/>
        <v>FAILED</v>
      </c>
    </row>
    <row r="16" spans="1:38" ht="15.75" thickBot="1" x14ac:dyDescent="0.3">
      <c r="A16" s="5">
        <v>6</v>
      </c>
      <c r="B16" s="122" t="str">
        <f>Attendance!B16</f>
        <v>CASIDA. KIESHA LOU RODRIGUEZ</v>
      </c>
      <c r="C16" s="146">
        <f>Attendance!M15</f>
        <v>0</v>
      </c>
      <c r="D16" s="147"/>
      <c r="E16" s="148"/>
      <c r="F16" s="132"/>
      <c r="G16" s="126"/>
      <c r="H16" s="55"/>
      <c r="I16" s="127"/>
      <c r="J16" s="124"/>
      <c r="K16" s="50"/>
      <c r="L16" s="85"/>
      <c r="M16" s="90">
        <f t="shared" si="0"/>
        <v>0</v>
      </c>
      <c r="N16" s="88">
        <f t="shared" si="1"/>
        <v>50</v>
      </c>
      <c r="O16" s="83">
        <f t="shared" si="2"/>
        <v>12.5</v>
      </c>
      <c r="P16" s="66"/>
      <c r="Q16" s="55"/>
      <c r="R16" s="55"/>
      <c r="S16" s="57"/>
      <c r="T16" s="56"/>
      <c r="U16" s="95">
        <f t="shared" si="3"/>
        <v>0</v>
      </c>
      <c r="V16" s="101">
        <f t="shared" si="4"/>
        <v>50</v>
      </c>
      <c r="W16" s="102">
        <f t="shared" si="5"/>
        <v>17.5</v>
      </c>
      <c r="X16" s="103">
        <f t="shared" si="6"/>
        <v>30</v>
      </c>
      <c r="Y16" s="66"/>
      <c r="Z16" s="105"/>
      <c r="AA16" s="108">
        <f t="shared" si="7"/>
        <v>0</v>
      </c>
      <c r="AB16" s="109">
        <f t="shared" si="8"/>
        <v>7.5</v>
      </c>
      <c r="AC16" s="107"/>
      <c r="AD16" s="81"/>
      <c r="AE16" s="110">
        <f t="shared" si="9"/>
        <v>0</v>
      </c>
      <c r="AF16" s="99">
        <f t="shared" si="10"/>
        <v>12.5</v>
      </c>
      <c r="AG16" s="111">
        <f t="shared" si="11"/>
        <v>20</v>
      </c>
      <c r="AI16" s="45">
        <f t="shared" si="12"/>
        <v>50</v>
      </c>
      <c r="AJ16" s="94" t="str">
        <f t="shared" si="13"/>
        <v>FAILED</v>
      </c>
    </row>
    <row r="17" spans="1:36" ht="15.75" thickBot="1" x14ac:dyDescent="0.3">
      <c r="A17" s="10">
        <v>7</v>
      </c>
      <c r="B17" s="122" t="str">
        <f>Attendance!B17</f>
        <v>CUARESMA. LOUR DESIREE BAQUERO</v>
      </c>
      <c r="C17" s="146">
        <f>Attendance!M16</f>
        <v>0</v>
      </c>
      <c r="D17" s="147"/>
      <c r="E17" s="148"/>
      <c r="F17" s="132"/>
      <c r="G17" s="126"/>
      <c r="H17" s="55"/>
      <c r="I17" s="127"/>
      <c r="J17" s="124"/>
      <c r="K17" s="50"/>
      <c r="L17" s="85"/>
      <c r="M17" s="90">
        <f t="shared" si="0"/>
        <v>0</v>
      </c>
      <c r="N17" s="88">
        <f t="shared" si="1"/>
        <v>50</v>
      </c>
      <c r="O17" s="83">
        <f t="shared" si="2"/>
        <v>12.5</v>
      </c>
      <c r="P17" s="66"/>
      <c r="Q17" s="55"/>
      <c r="R17" s="55"/>
      <c r="S17" s="57"/>
      <c r="T17" s="56"/>
      <c r="U17" s="95">
        <f t="shared" si="3"/>
        <v>0</v>
      </c>
      <c r="V17" s="101">
        <f t="shared" si="4"/>
        <v>50</v>
      </c>
      <c r="W17" s="102">
        <f t="shared" si="5"/>
        <v>17.5</v>
      </c>
      <c r="X17" s="103">
        <f t="shared" si="6"/>
        <v>30</v>
      </c>
      <c r="Y17" s="66"/>
      <c r="Z17" s="105"/>
      <c r="AA17" s="108">
        <f t="shared" si="7"/>
        <v>0</v>
      </c>
      <c r="AB17" s="109">
        <f t="shared" si="8"/>
        <v>7.5</v>
      </c>
      <c r="AC17" s="107"/>
      <c r="AD17" s="81"/>
      <c r="AE17" s="110">
        <f t="shared" si="9"/>
        <v>0</v>
      </c>
      <c r="AF17" s="99">
        <f t="shared" si="10"/>
        <v>12.5</v>
      </c>
      <c r="AG17" s="111">
        <f t="shared" si="11"/>
        <v>20</v>
      </c>
      <c r="AI17" s="45">
        <f t="shared" si="12"/>
        <v>50</v>
      </c>
      <c r="AJ17" s="94" t="str">
        <f t="shared" si="13"/>
        <v>FAILED</v>
      </c>
    </row>
    <row r="18" spans="1:36" ht="15.75" thickBot="1" x14ac:dyDescent="0.3">
      <c r="A18" s="5">
        <v>8</v>
      </c>
      <c r="B18" s="122" t="str">
        <f>Attendance!B18</f>
        <v>DETOPEREZ. KNYTZ PANIZALES</v>
      </c>
      <c r="C18" s="146">
        <f>Attendance!M17</f>
        <v>0</v>
      </c>
      <c r="D18" s="147"/>
      <c r="E18" s="148"/>
      <c r="F18" s="132"/>
      <c r="G18" s="126"/>
      <c r="H18" s="55"/>
      <c r="I18" s="127"/>
      <c r="J18" s="124"/>
      <c r="K18" s="50"/>
      <c r="L18" s="85"/>
      <c r="M18" s="90">
        <f t="shared" si="0"/>
        <v>0</v>
      </c>
      <c r="N18" s="88">
        <f t="shared" si="1"/>
        <v>50</v>
      </c>
      <c r="O18" s="83">
        <f t="shared" si="2"/>
        <v>12.5</v>
      </c>
      <c r="P18" s="66"/>
      <c r="Q18" s="55"/>
      <c r="R18" s="55"/>
      <c r="S18" s="57"/>
      <c r="T18" s="56"/>
      <c r="U18" s="95">
        <f t="shared" si="3"/>
        <v>0</v>
      </c>
      <c r="V18" s="101">
        <f t="shared" si="4"/>
        <v>50</v>
      </c>
      <c r="W18" s="102">
        <f t="shared" si="5"/>
        <v>17.5</v>
      </c>
      <c r="X18" s="103">
        <f t="shared" si="6"/>
        <v>30</v>
      </c>
      <c r="Y18" s="66"/>
      <c r="Z18" s="105"/>
      <c r="AA18" s="108">
        <f t="shared" si="7"/>
        <v>0</v>
      </c>
      <c r="AB18" s="109">
        <f t="shared" si="8"/>
        <v>7.5</v>
      </c>
      <c r="AC18" s="107"/>
      <c r="AD18" s="81"/>
      <c r="AE18" s="110">
        <f t="shared" si="9"/>
        <v>0</v>
      </c>
      <c r="AF18" s="99">
        <f t="shared" si="10"/>
        <v>12.5</v>
      </c>
      <c r="AG18" s="111">
        <f t="shared" si="11"/>
        <v>20</v>
      </c>
      <c r="AI18" s="45">
        <f t="shared" si="12"/>
        <v>50</v>
      </c>
      <c r="AJ18" s="94" t="str">
        <f t="shared" si="13"/>
        <v>FAILED</v>
      </c>
    </row>
    <row r="19" spans="1:36" ht="15.75" thickBot="1" x14ac:dyDescent="0.3">
      <c r="A19" s="10">
        <v>9</v>
      </c>
      <c r="B19" s="122" t="str">
        <f>Attendance!B19</f>
        <v>DOMINGO. ARSENIO JR. DIOLESTE</v>
      </c>
      <c r="C19" s="146">
        <f>Attendance!M18</f>
        <v>0</v>
      </c>
      <c r="D19" s="147"/>
      <c r="E19" s="148"/>
      <c r="F19" s="132"/>
      <c r="G19" s="126"/>
      <c r="H19" s="55"/>
      <c r="I19" s="127"/>
      <c r="J19" s="124"/>
      <c r="K19" s="50"/>
      <c r="L19" s="85"/>
      <c r="M19" s="90">
        <f t="shared" si="0"/>
        <v>0</v>
      </c>
      <c r="N19" s="88">
        <f t="shared" si="1"/>
        <v>50</v>
      </c>
      <c r="O19" s="83">
        <f t="shared" si="2"/>
        <v>12.5</v>
      </c>
      <c r="P19" s="66"/>
      <c r="Q19" s="55"/>
      <c r="R19" s="55"/>
      <c r="S19" s="57"/>
      <c r="T19" s="56"/>
      <c r="U19" s="95">
        <f t="shared" si="3"/>
        <v>0</v>
      </c>
      <c r="V19" s="101">
        <f t="shared" si="4"/>
        <v>50</v>
      </c>
      <c r="W19" s="102">
        <f t="shared" si="5"/>
        <v>17.5</v>
      </c>
      <c r="X19" s="103">
        <f t="shared" si="6"/>
        <v>30</v>
      </c>
      <c r="Y19" s="66"/>
      <c r="Z19" s="105"/>
      <c r="AA19" s="108">
        <f t="shared" si="7"/>
        <v>0</v>
      </c>
      <c r="AB19" s="109">
        <f t="shared" si="8"/>
        <v>7.5</v>
      </c>
      <c r="AC19" s="107"/>
      <c r="AD19" s="81"/>
      <c r="AE19" s="110">
        <f t="shared" si="9"/>
        <v>0</v>
      </c>
      <c r="AF19" s="99">
        <f t="shared" si="10"/>
        <v>12.5</v>
      </c>
      <c r="AG19" s="111">
        <f t="shared" si="11"/>
        <v>20</v>
      </c>
      <c r="AI19" s="45">
        <f t="shared" si="12"/>
        <v>50</v>
      </c>
      <c r="AJ19" s="94" t="str">
        <f t="shared" si="13"/>
        <v>FAILED</v>
      </c>
    </row>
    <row r="20" spans="1:36" ht="15.75" thickBot="1" x14ac:dyDescent="0.3">
      <c r="A20" s="5">
        <v>10</v>
      </c>
      <c r="B20" s="122" t="str">
        <f>Attendance!B20</f>
        <v>ESCANDA. ETHAN GABRIEL BERNALDEZ</v>
      </c>
      <c r="C20" s="146">
        <f>Attendance!M19</f>
        <v>0</v>
      </c>
      <c r="D20" s="147"/>
      <c r="E20" s="148"/>
      <c r="F20" s="132"/>
      <c r="G20" s="126"/>
      <c r="H20" s="55"/>
      <c r="I20" s="127"/>
      <c r="J20" s="124"/>
      <c r="K20" s="50"/>
      <c r="L20" s="85"/>
      <c r="M20" s="90">
        <f t="shared" si="0"/>
        <v>0</v>
      </c>
      <c r="N20" s="88">
        <f t="shared" si="1"/>
        <v>50</v>
      </c>
      <c r="O20" s="83">
        <f t="shared" si="2"/>
        <v>12.5</v>
      </c>
      <c r="P20" s="66"/>
      <c r="Q20" s="55"/>
      <c r="R20" s="55"/>
      <c r="S20" s="57"/>
      <c r="T20" s="56"/>
      <c r="U20" s="95">
        <f t="shared" si="3"/>
        <v>0</v>
      </c>
      <c r="V20" s="101">
        <f t="shared" si="4"/>
        <v>50</v>
      </c>
      <c r="W20" s="102">
        <f t="shared" si="5"/>
        <v>17.5</v>
      </c>
      <c r="X20" s="103">
        <f t="shared" si="6"/>
        <v>30</v>
      </c>
      <c r="Y20" s="66"/>
      <c r="Z20" s="105"/>
      <c r="AA20" s="108">
        <f t="shared" si="7"/>
        <v>0</v>
      </c>
      <c r="AB20" s="109">
        <f t="shared" si="8"/>
        <v>7.5</v>
      </c>
      <c r="AC20" s="107"/>
      <c r="AD20" s="81"/>
      <c r="AE20" s="110">
        <f t="shared" si="9"/>
        <v>0</v>
      </c>
      <c r="AF20" s="99">
        <f t="shared" si="10"/>
        <v>12.5</v>
      </c>
      <c r="AG20" s="111">
        <f t="shared" si="11"/>
        <v>20</v>
      </c>
      <c r="AI20" s="45">
        <f t="shared" si="12"/>
        <v>50</v>
      </c>
      <c r="AJ20" s="94" t="str">
        <f t="shared" si="13"/>
        <v>FAILED</v>
      </c>
    </row>
    <row r="21" spans="1:36" ht="15.75" thickBot="1" x14ac:dyDescent="0.3">
      <c r="A21" s="10">
        <v>11</v>
      </c>
      <c r="B21" s="122" t="str">
        <f>Attendance!B21</f>
        <v>GENTERONE. LYCCA MAY PODADOR</v>
      </c>
      <c r="C21" s="146">
        <f>Attendance!M20</f>
        <v>0</v>
      </c>
      <c r="D21" s="147"/>
      <c r="E21" s="148"/>
      <c r="F21" s="132"/>
      <c r="G21" s="126"/>
      <c r="H21" s="55"/>
      <c r="I21" s="127"/>
      <c r="J21" s="124"/>
      <c r="K21" s="50"/>
      <c r="L21" s="85"/>
      <c r="M21" s="90">
        <f t="shared" si="0"/>
        <v>0</v>
      </c>
      <c r="N21" s="88">
        <f t="shared" si="1"/>
        <v>50</v>
      </c>
      <c r="O21" s="83">
        <f t="shared" si="2"/>
        <v>12.5</v>
      </c>
      <c r="P21" s="66"/>
      <c r="Q21" s="55"/>
      <c r="R21" s="55"/>
      <c r="S21" s="57"/>
      <c r="T21" s="56"/>
      <c r="U21" s="95">
        <f t="shared" si="3"/>
        <v>0</v>
      </c>
      <c r="V21" s="101">
        <f t="shared" si="4"/>
        <v>50</v>
      </c>
      <c r="W21" s="102">
        <f t="shared" si="5"/>
        <v>17.5</v>
      </c>
      <c r="X21" s="103">
        <f t="shared" si="6"/>
        <v>30</v>
      </c>
      <c r="Y21" s="66"/>
      <c r="Z21" s="105"/>
      <c r="AA21" s="108">
        <f t="shared" si="7"/>
        <v>0</v>
      </c>
      <c r="AB21" s="109">
        <f t="shared" si="8"/>
        <v>7.5</v>
      </c>
      <c r="AC21" s="107"/>
      <c r="AD21" s="81"/>
      <c r="AE21" s="110">
        <f t="shared" si="9"/>
        <v>0</v>
      </c>
      <c r="AF21" s="99">
        <f t="shared" si="10"/>
        <v>12.5</v>
      </c>
      <c r="AG21" s="111">
        <f t="shared" si="11"/>
        <v>20</v>
      </c>
      <c r="AI21" s="45">
        <f t="shared" si="12"/>
        <v>50</v>
      </c>
      <c r="AJ21" s="94" t="str">
        <f t="shared" si="13"/>
        <v>FAILED</v>
      </c>
    </row>
    <row r="22" spans="1:36" ht="15.75" thickBot="1" x14ac:dyDescent="0.3">
      <c r="A22" s="5">
        <v>12</v>
      </c>
      <c r="B22" s="122" t="str">
        <f>Attendance!B22</f>
        <v>HITONES. APPLE ANDREA SU-AY</v>
      </c>
      <c r="C22" s="146">
        <f>Attendance!M21</f>
        <v>0</v>
      </c>
      <c r="D22" s="147"/>
      <c r="E22" s="148"/>
      <c r="F22" s="132"/>
      <c r="G22" s="126"/>
      <c r="H22" s="55"/>
      <c r="I22" s="127"/>
      <c r="J22" s="124"/>
      <c r="K22" s="50"/>
      <c r="L22" s="85"/>
      <c r="M22" s="90">
        <f t="shared" si="0"/>
        <v>0</v>
      </c>
      <c r="N22" s="88">
        <f t="shared" si="1"/>
        <v>50</v>
      </c>
      <c r="O22" s="83">
        <f t="shared" si="2"/>
        <v>12.5</v>
      </c>
      <c r="P22" s="66"/>
      <c r="Q22" s="55"/>
      <c r="R22" s="55"/>
      <c r="S22" s="57"/>
      <c r="T22" s="56"/>
      <c r="U22" s="95">
        <f t="shared" si="3"/>
        <v>0</v>
      </c>
      <c r="V22" s="101">
        <f t="shared" si="4"/>
        <v>50</v>
      </c>
      <c r="W22" s="102">
        <f t="shared" si="5"/>
        <v>17.5</v>
      </c>
      <c r="X22" s="103">
        <f t="shared" si="6"/>
        <v>30</v>
      </c>
      <c r="Y22" s="66"/>
      <c r="Z22" s="105"/>
      <c r="AA22" s="108">
        <f t="shared" si="7"/>
        <v>0</v>
      </c>
      <c r="AB22" s="109">
        <f t="shared" si="8"/>
        <v>7.5</v>
      </c>
      <c r="AC22" s="107"/>
      <c r="AD22" s="81"/>
      <c r="AE22" s="110">
        <f t="shared" si="9"/>
        <v>0</v>
      </c>
      <c r="AF22" s="99">
        <f t="shared" si="10"/>
        <v>12.5</v>
      </c>
      <c r="AG22" s="111">
        <f t="shared" si="11"/>
        <v>20</v>
      </c>
      <c r="AI22" s="45">
        <f t="shared" si="12"/>
        <v>50</v>
      </c>
      <c r="AJ22" s="94" t="str">
        <f t="shared" si="13"/>
        <v>FAILED</v>
      </c>
    </row>
    <row r="23" spans="1:36" ht="15.75" thickBot="1" x14ac:dyDescent="0.3">
      <c r="A23" s="10">
        <v>13</v>
      </c>
      <c r="B23" s="122" t="str">
        <f>Attendance!B23</f>
        <v>ILISAN. JOHN PAUL PAGDATO</v>
      </c>
      <c r="C23" s="146">
        <f>Attendance!M22</f>
        <v>0</v>
      </c>
      <c r="D23" s="147"/>
      <c r="E23" s="148"/>
      <c r="F23" s="132"/>
      <c r="G23" s="126"/>
      <c r="H23" s="55"/>
      <c r="I23" s="127"/>
      <c r="J23" s="124"/>
      <c r="K23" s="50"/>
      <c r="L23" s="85"/>
      <c r="M23" s="90">
        <f t="shared" si="0"/>
        <v>0</v>
      </c>
      <c r="N23" s="88">
        <f t="shared" si="1"/>
        <v>50</v>
      </c>
      <c r="O23" s="83">
        <f t="shared" si="2"/>
        <v>12.5</v>
      </c>
      <c r="P23" s="66"/>
      <c r="Q23" s="55"/>
      <c r="R23" s="55"/>
      <c r="S23" s="57"/>
      <c r="T23" s="56"/>
      <c r="U23" s="95">
        <f t="shared" si="3"/>
        <v>0</v>
      </c>
      <c r="V23" s="101">
        <f t="shared" si="4"/>
        <v>50</v>
      </c>
      <c r="W23" s="102">
        <f t="shared" si="5"/>
        <v>17.5</v>
      </c>
      <c r="X23" s="103">
        <f t="shared" si="6"/>
        <v>30</v>
      </c>
      <c r="Y23" s="66"/>
      <c r="Z23" s="105"/>
      <c r="AA23" s="108">
        <f t="shared" si="7"/>
        <v>0</v>
      </c>
      <c r="AB23" s="109">
        <f t="shared" si="8"/>
        <v>7.5</v>
      </c>
      <c r="AC23" s="107"/>
      <c r="AD23" s="81"/>
      <c r="AE23" s="110">
        <f t="shared" si="9"/>
        <v>0</v>
      </c>
      <c r="AF23" s="99">
        <f t="shared" si="10"/>
        <v>12.5</v>
      </c>
      <c r="AG23" s="111">
        <f t="shared" si="11"/>
        <v>20</v>
      </c>
      <c r="AI23" s="45">
        <f t="shared" si="12"/>
        <v>50</v>
      </c>
      <c r="AJ23" s="94" t="str">
        <f t="shared" si="13"/>
        <v>FAILED</v>
      </c>
    </row>
    <row r="24" spans="1:36" ht="15.75" thickBot="1" x14ac:dyDescent="0.3">
      <c r="A24" s="5">
        <v>14</v>
      </c>
      <c r="B24" s="122" t="str">
        <f>Attendance!B24</f>
        <v>JABAN. GABRIEL JAY JORNADAL</v>
      </c>
      <c r="C24" s="146">
        <f>Attendance!M23</f>
        <v>0</v>
      </c>
      <c r="D24" s="147"/>
      <c r="E24" s="148"/>
      <c r="F24" s="132"/>
      <c r="G24" s="126"/>
      <c r="H24" s="55"/>
      <c r="I24" s="127"/>
      <c r="J24" s="124"/>
      <c r="K24" s="50"/>
      <c r="L24" s="85"/>
      <c r="M24" s="90">
        <f t="shared" si="0"/>
        <v>0</v>
      </c>
      <c r="N24" s="88">
        <f t="shared" si="1"/>
        <v>50</v>
      </c>
      <c r="O24" s="83">
        <f t="shared" si="2"/>
        <v>12.5</v>
      </c>
      <c r="P24" s="66"/>
      <c r="Q24" s="55"/>
      <c r="R24" s="55"/>
      <c r="S24" s="57"/>
      <c r="T24" s="56"/>
      <c r="U24" s="95">
        <f t="shared" si="3"/>
        <v>0</v>
      </c>
      <c r="V24" s="101">
        <f t="shared" si="4"/>
        <v>50</v>
      </c>
      <c r="W24" s="102">
        <f t="shared" si="5"/>
        <v>17.5</v>
      </c>
      <c r="X24" s="103">
        <f t="shared" si="6"/>
        <v>30</v>
      </c>
      <c r="Y24" s="66"/>
      <c r="Z24" s="105"/>
      <c r="AA24" s="108">
        <f t="shared" si="7"/>
        <v>0</v>
      </c>
      <c r="AB24" s="109">
        <f t="shared" si="8"/>
        <v>7.5</v>
      </c>
      <c r="AC24" s="107"/>
      <c r="AD24" s="81"/>
      <c r="AE24" s="110">
        <f t="shared" si="9"/>
        <v>0</v>
      </c>
      <c r="AF24" s="99">
        <f t="shared" si="10"/>
        <v>12.5</v>
      </c>
      <c r="AG24" s="111">
        <f t="shared" si="11"/>
        <v>20</v>
      </c>
      <c r="AI24" s="45">
        <f t="shared" si="12"/>
        <v>50</v>
      </c>
      <c r="AJ24" s="94" t="str">
        <f t="shared" si="13"/>
        <v>FAILED</v>
      </c>
    </row>
    <row r="25" spans="1:36" ht="15.75" thickBot="1" x14ac:dyDescent="0.3">
      <c r="A25" s="10">
        <v>15</v>
      </c>
      <c r="B25" s="122" t="str">
        <f>Attendance!B25</f>
        <v>JACULINA. KRIZEL JOY AMULAR</v>
      </c>
      <c r="C25" s="146">
        <f>Attendance!M24</f>
        <v>0</v>
      </c>
      <c r="D25" s="147"/>
      <c r="E25" s="148"/>
      <c r="F25" s="132"/>
      <c r="G25" s="126"/>
      <c r="H25" s="55"/>
      <c r="I25" s="127"/>
      <c r="J25" s="124"/>
      <c r="K25" s="50"/>
      <c r="L25" s="85"/>
      <c r="M25" s="90">
        <f t="shared" si="0"/>
        <v>0</v>
      </c>
      <c r="N25" s="88">
        <f t="shared" si="1"/>
        <v>50</v>
      </c>
      <c r="O25" s="83">
        <f t="shared" si="2"/>
        <v>12.5</v>
      </c>
      <c r="P25" s="66"/>
      <c r="Q25" s="55"/>
      <c r="R25" s="55"/>
      <c r="S25" s="57"/>
      <c r="T25" s="56"/>
      <c r="U25" s="95">
        <f t="shared" si="3"/>
        <v>0</v>
      </c>
      <c r="V25" s="101">
        <f t="shared" si="4"/>
        <v>50</v>
      </c>
      <c r="W25" s="102">
        <f t="shared" si="5"/>
        <v>17.5</v>
      </c>
      <c r="X25" s="103">
        <f t="shared" si="6"/>
        <v>30</v>
      </c>
      <c r="Y25" s="66"/>
      <c r="Z25" s="105"/>
      <c r="AA25" s="108">
        <f t="shared" si="7"/>
        <v>0</v>
      </c>
      <c r="AB25" s="109">
        <f t="shared" si="8"/>
        <v>7.5</v>
      </c>
      <c r="AC25" s="107"/>
      <c r="AD25" s="81"/>
      <c r="AE25" s="110">
        <f t="shared" si="9"/>
        <v>0</v>
      </c>
      <c r="AF25" s="99">
        <f t="shared" si="10"/>
        <v>12.5</v>
      </c>
      <c r="AG25" s="111">
        <f t="shared" si="11"/>
        <v>20</v>
      </c>
      <c r="AI25" s="45">
        <f t="shared" si="12"/>
        <v>50</v>
      </c>
      <c r="AJ25" s="94" t="str">
        <f t="shared" si="13"/>
        <v>FAILED</v>
      </c>
    </row>
    <row r="26" spans="1:36" ht="15.75" thickBot="1" x14ac:dyDescent="0.3">
      <c r="A26" s="5">
        <v>16</v>
      </c>
      <c r="B26" s="122" t="str">
        <f>Attendance!B26</f>
        <v>LANGOTE. JAMELA FAYE SORBITO</v>
      </c>
      <c r="C26" s="146">
        <f>Attendance!M25</f>
        <v>0</v>
      </c>
      <c r="D26" s="147"/>
      <c r="E26" s="148"/>
      <c r="F26" s="132"/>
      <c r="G26" s="126"/>
      <c r="H26" s="55"/>
      <c r="I26" s="127"/>
      <c r="J26" s="124"/>
      <c r="K26" s="50"/>
      <c r="L26" s="85"/>
      <c r="M26" s="90">
        <f t="shared" si="0"/>
        <v>0</v>
      </c>
      <c r="N26" s="88">
        <f t="shared" si="1"/>
        <v>50</v>
      </c>
      <c r="O26" s="83">
        <f t="shared" si="2"/>
        <v>12.5</v>
      </c>
      <c r="P26" s="66"/>
      <c r="Q26" s="55"/>
      <c r="R26" s="55"/>
      <c r="S26" s="57"/>
      <c r="T26" s="56"/>
      <c r="U26" s="95">
        <f t="shared" si="3"/>
        <v>0</v>
      </c>
      <c r="V26" s="101">
        <f t="shared" si="4"/>
        <v>50</v>
      </c>
      <c r="W26" s="102">
        <f t="shared" si="5"/>
        <v>17.5</v>
      </c>
      <c r="X26" s="103">
        <f t="shared" si="6"/>
        <v>30</v>
      </c>
      <c r="Y26" s="66"/>
      <c r="Z26" s="105"/>
      <c r="AA26" s="108">
        <f t="shared" si="7"/>
        <v>0</v>
      </c>
      <c r="AB26" s="109">
        <f t="shared" si="8"/>
        <v>7.5</v>
      </c>
      <c r="AC26" s="107"/>
      <c r="AD26" s="81"/>
      <c r="AE26" s="110">
        <f t="shared" si="9"/>
        <v>0</v>
      </c>
      <c r="AF26" s="99">
        <f t="shared" si="10"/>
        <v>12.5</v>
      </c>
      <c r="AG26" s="111">
        <f t="shared" si="11"/>
        <v>20</v>
      </c>
      <c r="AI26" s="45">
        <f t="shared" si="12"/>
        <v>50</v>
      </c>
      <c r="AJ26" s="94" t="str">
        <f t="shared" si="13"/>
        <v>FAILED</v>
      </c>
    </row>
    <row r="27" spans="1:36" ht="15.75" thickBot="1" x14ac:dyDescent="0.3">
      <c r="A27" s="10">
        <v>17</v>
      </c>
      <c r="B27" s="122" t="str">
        <f>Attendance!B27</f>
        <v>MAGDUGO. BHE JAY PANGANIBAN</v>
      </c>
      <c r="C27" s="146">
        <f>Attendance!M26</f>
        <v>0</v>
      </c>
      <c r="D27" s="147"/>
      <c r="E27" s="148"/>
      <c r="F27" s="132"/>
      <c r="G27" s="126"/>
      <c r="H27" s="55"/>
      <c r="I27" s="127"/>
      <c r="J27" s="124"/>
      <c r="K27" s="50"/>
      <c r="L27" s="85"/>
      <c r="M27" s="90">
        <f t="shared" si="0"/>
        <v>0</v>
      </c>
      <c r="N27" s="88">
        <f t="shared" si="1"/>
        <v>50</v>
      </c>
      <c r="O27" s="83">
        <f t="shared" si="2"/>
        <v>12.5</v>
      </c>
      <c r="P27" s="66"/>
      <c r="Q27" s="55"/>
      <c r="R27" s="55"/>
      <c r="S27" s="57"/>
      <c r="T27" s="56"/>
      <c r="U27" s="95">
        <f t="shared" si="3"/>
        <v>0</v>
      </c>
      <c r="V27" s="101">
        <f t="shared" si="4"/>
        <v>50</v>
      </c>
      <c r="W27" s="102">
        <f t="shared" si="5"/>
        <v>17.5</v>
      </c>
      <c r="X27" s="103">
        <f t="shared" si="6"/>
        <v>30</v>
      </c>
      <c r="Y27" s="66"/>
      <c r="Z27" s="105"/>
      <c r="AA27" s="108">
        <f t="shared" si="7"/>
        <v>0</v>
      </c>
      <c r="AB27" s="109">
        <f t="shared" si="8"/>
        <v>7.5</v>
      </c>
      <c r="AC27" s="107"/>
      <c r="AD27" s="81"/>
      <c r="AE27" s="110">
        <f t="shared" si="9"/>
        <v>0</v>
      </c>
      <c r="AF27" s="99">
        <f t="shared" si="10"/>
        <v>12.5</v>
      </c>
      <c r="AG27" s="111">
        <f t="shared" si="11"/>
        <v>20</v>
      </c>
      <c r="AI27" s="45">
        <f t="shared" si="12"/>
        <v>50</v>
      </c>
      <c r="AJ27" s="94" t="str">
        <f t="shared" si="13"/>
        <v>FAILED</v>
      </c>
    </row>
    <row r="28" spans="1:36" ht="15.75" thickBot="1" x14ac:dyDescent="0.3">
      <c r="A28" s="5">
        <v>18</v>
      </c>
      <c r="B28" s="122" t="str">
        <f>Attendance!B28</f>
        <v>MARIANO. ERICKA MAE BALUCA</v>
      </c>
      <c r="C28" s="146">
        <f>Attendance!M27</f>
        <v>0</v>
      </c>
      <c r="D28" s="147"/>
      <c r="E28" s="148"/>
      <c r="F28" s="132"/>
      <c r="G28" s="126"/>
      <c r="H28" s="55"/>
      <c r="I28" s="127"/>
      <c r="J28" s="124"/>
      <c r="K28" s="50"/>
      <c r="L28" s="85"/>
      <c r="M28" s="90">
        <f t="shared" si="0"/>
        <v>0</v>
      </c>
      <c r="N28" s="88">
        <f t="shared" si="1"/>
        <v>50</v>
      </c>
      <c r="O28" s="83">
        <f t="shared" si="2"/>
        <v>12.5</v>
      </c>
      <c r="P28" s="66"/>
      <c r="Q28" s="55"/>
      <c r="R28" s="55"/>
      <c r="S28" s="57"/>
      <c r="T28" s="56"/>
      <c r="U28" s="95">
        <f t="shared" si="3"/>
        <v>0</v>
      </c>
      <c r="V28" s="101">
        <f t="shared" si="4"/>
        <v>50</v>
      </c>
      <c r="W28" s="102">
        <f t="shared" si="5"/>
        <v>17.5</v>
      </c>
      <c r="X28" s="103">
        <f t="shared" si="6"/>
        <v>30</v>
      </c>
      <c r="Y28" s="66"/>
      <c r="Z28" s="105"/>
      <c r="AA28" s="108">
        <f t="shared" si="7"/>
        <v>0</v>
      </c>
      <c r="AB28" s="109">
        <f t="shared" si="8"/>
        <v>7.5</v>
      </c>
      <c r="AC28" s="107"/>
      <c r="AD28" s="81"/>
      <c r="AE28" s="110">
        <f t="shared" si="9"/>
        <v>0</v>
      </c>
      <c r="AF28" s="99">
        <f t="shared" si="10"/>
        <v>12.5</v>
      </c>
      <c r="AG28" s="111">
        <f t="shared" si="11"/>
        <v>20</v>
      </c>
      <c r="AI28" s="45">
        <f t="shared" si="12"/>
        <v>50</v>
      </c>
      <c r="AJ28" s="94" t="str">
        <f t="shared" si="13"/>
        <v>FAILED</v>
      </c>
    </row>
    <row r="29" spans="1:36" ht="15.75" thickBot="1" x14ac:dyDescent="0.3">
      <c r="A29" s="10">
        <v>19</v>
      </c>
      <c r="B29" s="122" t="str">
        <f>Attendance!B29</f>
        <v>MATULAC. JEREMIE LAÑOJAN</v>
      </c>
      <c r="C29" s="146">
        <f>Attendance!M28</f>
        <v>0</v>
      </c>
      <c r="D29" s="147"/>
      <c r="E29" s="148"/>
      <c r="F29" s="132"/>
      <c r="G29" s="126"/>
      <c r="H29" s="55"/>
      <c r="I29" s="127"/>
      <c r="J29" s="124"/>
      <c r="K29" s="50"/>
      <c r="L29" s="85"/>
      <c r="M29" s="90">
        <f t="shared" si="0"/>
        <v>0</v>
      </c>
      <c r="N29" s="88">
        <f t="shared" si="1"/>
        <v>50</v>
      </c>
      <c r="O29" s="83">
        <f t="shared" si="2"/>
        <v>12.5</v>
      </c>
      <c r="P29" s="67"/>
      <c r="Q29" s="68"/>
      <c r="R29" s="68"/>
      <c r="S29" s="68"/>
      <c r="T29" s="68"/>
      <c r="U29" s="95">
        <f t="shared" si="3"/>
        <v>0</v>
      </c>
      <c r="V29" s="101">
        <f t="shared" si="4"/>
        <v>50</v>
      </c>
      <c r="W29" s="102">
        <f t="shared" si="5"/>
        <v>17.5</v>
      </c>
      <c r="X29" s="103">
        <f t="shared" si="6"/>
        <v>30</v>
      </c>
      <c r="Y29" s="67"/>
      <c r="Z29" s="105"/>
      <c r="AA29" s="108">
        <f t="shared" si="7"/>
        <v>0</v>
      </c>
      <c r="AB29" s="109">
        <f t="shared" si="8"/>
        <v>7.5</v>
      </c>
      <c r="AC29" s="107"/>
      <c r="AD29" s="81"/>
      <c r="AE29" s="110">
        <f t="shared" si="9"/>
        <v>0</v>
      </c>
      <c r="AF29" s="99">
        <f t="shared" si="10"/>
        <v>12.5</v>
      </c>
      <c r="AG29" s="111">
        <f t="shared" si="11"/>
        <v>20</v>
      </c>
      <c r="AI29" s="45">
        <f t="shared" si="12"/>
        <v>50</v>
      </c>
      <c r="AJ29" s="94" t="str">
        <f t="shared" si="13"/>
        <v>FAILED</v>
      </c>
    </row>
    <row r="30" spans="1:36" ht="15.75" thickBot="1" x14ac:dyDescent="0.3">
      <c r="A30" s="5">
        <v>20</v>
      </c>
      <c r="B30" s="122" t="str">
        <f>Attendance!B30</f>
        <v>NASA. GEN FLORENCE NELLAS</v>
      </c>
      <c r="C30" s="146">
        <f>Attendance!M29</f>
        <v>0</v>
      </c>
      <c r="D30" s="147"/>
      <c r="E30" s="148"/>
      <c r="F30" s="132"/>
      <c r="G30" s="126"/>
      <c r="H30" s="55"/>
      <c r="I30" s="127"/>
      <c r="J30" s="124"/>
      <c r="K30" s="50"/>
      <c r="L30" s="85"/>
      <c r="M30" s="90">
        <f t="shared" si="0"/>
        <v>0</v>
      </c>
      <c r="N30" s="88">
        <f t="shared" si="1"/>
        <v>50</v>
      </c>
      <c r="O30" s="83">
        <f t="shared" si="2"/>
        <v>12.5</v>
      </c>
      <c r="P30" s="66"/>
      <c r="Q30" s="54"/>
      <c r="R30" s="54"/>
      <c r="S30" s="57"/>
      <c r="T30" s="56"/>
      <c r="U30" s="95">
        <f t="shared" si="3"/>
        <v>0</v>
      </c>
      <c r="V30" s="101">
        <f t="shared" si="4"/>
        <v>50</v>
      </c>
      <c r="W30" s="102">
        <f t="shared" si="5"/>
        <v>17.5</v>
      </c>
      <c r="X30" s="103">
        <f t="shared" si="6"/>
        <v>30</v>
      </c>
      <c r="Y30" s="66"/>
      <c r="Z30" s="105"/>
      <c r="AA30" s="108">
        <f t="shared" si="7"/>
        <v>0</v>
      </c>
      <c r="AB30" s="109">
        <f t="shared" si="8"/>
        <v>7.5</v>
      </c>
      <c r="AC30" s="107"/>
      <c r="AD30" s="81"/>
      <c r="AE30" s="110">
        <f t="shared" si="9"/>
        <v>0</v>
      </c>
      <c r="AF30" s="99">
        <f t="shared" si="10"/>
        <v>12.5</v>
      </c>
      <c r="AG30" s="111">
        <f t="shared" si="11"/>
        <v>20</v>
      </c>
      <c r="AI30" s="45">
        <f t="shared" si="12"/>
        <v>50</v>
      </c>
      <c r="AJ30" s="94" t="str">
        <f t="shared" si="13"/>
        <v>FAILED</v>
      </c>
    </row>
    <row r="31" spans="1:36" ht="15.75" thickBot="1" x14ac:dyDescent="0.3">
      <c r="A31" s="10">
        <v>21</v>
      </c>
      <c r="B31" s="122" t="str">
        <f>Attendance!B31</f>
        <v>ONEZ. CHRISTIAN JAY PATINIO</v>
      </c>
      <c r="C31" s="146">
        <f>Attendance!M30</f>
        <v>0</v>
      </c>
      <c r="D31" s="147"/>
      <c r="E31" s="148"/>
      <c r="F31" s="132"/>
      <c r="G31" s="126"/>
      <c r="H31" s="55"/>
      <c r="I31" s="127"/>
      <c r="J31" s="124"/>
      <c r="K31" s="50"/>
      <c r="L31" s="85"/>
      <c r="M31" s="90">
        <f t="shared" si="0"/>
        <v>0</v>
      </c>
      <c r="N31" s="88">
        <f t="shared" si="1"/>
        <v>50</v>
      </c>
      <c r="O31" s="83">
        <f t="shared" si="2"/>
        <v>12.5</v>
      </c>
      <c r="P31" s="67"/>
      <c r="Q31" s="68"/>
      <c r="R31" s="68"/>
      <c r="S31" s="68"/>
      <c r="T31" s="68"/>
      <c r="U31" s="95">
        <f t="shared" si="3"/>
        <v>0</v>
      </c>
      <c r="V31" s="101">
        <f t="shared" si="4"/>
        <v>50</v>
      </c>
      <c r="W31" s="102">
        <f t="shared" si="5"/>
        <v>17.5</v>
      </c>
      <c r="X31" s="103">
        <f t="shared" si="6"/>
        <v>30</v>
      </c>
      <c r="Y31" s="67"/>
      <c r="Z31" s="105"/>
      <c r="AA31" s="108">
        <f t="shared" si="7"/>
        <v>0</v>
      </c>
      <c r="AB31" s="109">
        <f t="shared" si="8"/>
        <v>7.5</v>
      </c>
      <c r="AC31" s="107"/>
      <c r="AD31" s="81"/>
      <c r="AE31" s="110">
        <f t="shared" si="9"/>
        <v>0</v>
      </c>
      <c r="AF31" s="99">
        <f t="shared" si="10"/>
        <v>12.5</v>
      </c>
      <c r="AG31" s="111">
        <f t="shared" si="11"/>
        <v>20</v>
      </c>
      <c r="AI31" s="45">
        <f t="shared" si="12"/>
        <v>50</v>
      </c>
      <c r="AJ31" s="94" t="str">
        <f t="shared" si="13"/>
        <v>FAILED</v>
      </c>
    </row>
    <row r="32" spans="1:36" ht="15.75" thickBot="1" x14ac:dyDescent="0.3">
      <c r="A32" s="5">
        <v>22</v>
      </c>
      <c r="B32" s="122" t="str">
        <f>Attendance!B32</f>
        <v>PADILLO. KIRK HILARY MOTAO</v>
      </c>
      <c r="C32" s="146">
        <f>Attendance!M31</f>
        <v>0</v>
      </c>
      <c r="D32" s="147"/>
      <c r="E32" s="148"/>
      <c r="F32" s="132"/>
      <c r="G32" s="126"/>
      <c r="H32" s="55"/>
      <c r="I32" s="127"/>
      <c r="J32" s="124"/>
      <c r="K32" s="50"/>
      <c r="L32" s="85"/>
      <c r="M32" s="90">
        <f t="shared" si="0"/>
        <v>0</v>
      </c>
      <c r="N32" s="88">
        <f t="shared" si="1"/>
        <v>50</v>
      </c>
      <c r="O32" s="83">
        <f t="shared" si="2"/>
        <v>12.5</v>
      </c>
      <c r="P32" s="66"/>
      <c r="Q32" s="54"/>
      <c r="R32" s="54"/>
      <c r="S32" s="57"/>
      <c r="T32" s="56"/>
      <c r="U32" s="95">
        <f t="shared" si="3"/>
        <v>0</v>
      </c>
      <c r="V32" s="101">
        <f t="shared" si="4"/>
        <v>50</v>
      </c>
      <c r="W32" s="102">
        <f t="shared" si="5"/>
        <v>17.5</v>
      </c>
      <c r="X32" s="103">
        <f t="shared" si="6"/>
        <v>30</v>
      </c>
      <c r="Y32" s="66"/>
      <c r="Z32" s="105"/>
      <c r="AA32" s="108">
        <f t="shared" si="7"/>
        <v>0</v>
      </c>
      <c r="AB32" s="109">
        <f t="shared" si="8"/>
        <v>7.5</v>
      </c>
      <c r="AC32" s="107"/>
      <c r="AD32" s="81"/>
      <c r="AE32" s="110">
        <f t="shared" si="9"/>
        <v>0</v>
      </c>
      <c r="AF32" s="99">
        <f t="shared" si="10"/>
        <v>12.5</v>
      </c>
      <c r="AG32" s="111">
        <f t="shared" si="11"/>
        <v>20</v>
      </c>
      <c r="AI32" s="45">
        <f t="shared" si="12"/>
        <v>50</v>
      </c>
      <c r="AJ32" s="94" t="str">
        <f t="shared" si="13"/>
        <v>FAILED</v>
      </c>
    </row>
    <row r="33" spans="1:36" ht="15.75" thickBot="1" x14ac:dyDescent="0.3">
      <c r="A33" s="10">
        <v>23</v>
      </c>
      <c r="B33" s="122" t="str">
        <f>Attendance!B33</f>
        <v>PAJO. MARK JEMUEL MANCENIDO</v>
      </c>
      <c r="C33" s="146">
        <f>Attendance!M32</f>
        <v>0</v>
      </c>
      <c r="D33" s="147"/>
      <c r="E33" s="148"/>
      <c r="F33" s="132"/>
      <c r="G33" s="126"/>
      <c r="H33" s="55"/>
      <c r="I33" s="127"/>
      <c r="J33" s="124"/>
      <c r="K33" s="50"/>
      <c r="L33" s="85"/>
      <c r="M33" s="90">
        <f t="shared" si="0"/>
        <v>0</v>
      </c>
      <c r="N33" s="88">
        <f t="shared" si="1"/>
        <v>50</v>
      </c>
      <c r="O33" s="83">
        <f t="shared" si="2"/>
        <v>12.5</v>
      </c>
      <c r="P33" s="66"/>
      <c r="Q33" s="54"/>
      <c r="R33" s="54"/>
      <c r="S33" s="57"/>
      <c r="T33" s="56"/>
      <c r="U33" s="95">
        <f t="shared" si="3"/>
        <v>0</v>
      </c>
      <c r="V33" s="101">
        <f t="shared" si="4"/>
        <v>50</v>
      </c>
      <c r="W33" s="102">
        <f t="shared" si="5"/>
        <v>17.5</v>
      </c>
      <c r="X33" s="103">
        <f t="shared" si="6"/>
        <v>30</v>
      </c>
      <c r="Y33" s="66"/>
      <c r="Z33" s="105"/>
      <c r="AA33" s="108">
        <f t="shared" si="7"/>
        <v>0</v>
      </c>
      <c r="AB33" s="109">
        <f t="shared" si="8"/>
        <v>7.5</v>
      </c>
      <c r="AC33" s="107"/>
      <c r="AD33" s="81"/>
      <c r="AE33" s="110">
        <f t="shared" si="9"/>
        <v>0</v>
      </c>
      <c r="AF33" s="99">
        <f t="shared" si="10"/>
        <v>12.5</v>
      </c>
      <c r="AG33" s="111">
        <f t="shared" si="11"/>
        <v>20</v>
      </c>
      <c r="AI33" s="45">
        <f t="shared" si="12"/>
        <v>50</v>
      </c>
      <c r="AJ33" s="94" t="str">
        <f t="shared" si="13"/>
        <v>FAILED</v>
      </c>
    </row>
    <row r="34" spans="1:36" ht="15.75" thickBot="1" x14ac:dyDescent="0.3">
      <c r="A34" s="5">
        <v>24</v>
      </c>
      <c r="B34" s="122" t="str">
        <f>Attendance!B34</f>
        <v>PANALIGAN. LEREMAE SHEANE TUGAP</v>
      </c>
      <c r="C34" s="146">
        <f>Attendance!M33</f>
        <v>0</v>
      </c>
      <c r="D34" s="147"/>
      <c r="E34" s="148"/>
      <c r="F34" s="132"/>
      <c r="G34" s="126"/>
      <c r="H34" s="55"/>
      <c r="I34" s="127"/>
      <c r="J34" s="124"/>
      <c r="K34" s="50"/>
      <c r="L34" s="85"/>
      <c r="M34" s="90">
        <f t="shared" si="0"/>
        <v>0</v>
      </c>
      <c r="N34" s="88">
        <f t="shared" si="1"/>
        <v>50</v>
      </c>
      <c r="O34" s="83">
        <f t="shared" si="2"/>
        <v>12.5</v>
      </c>
      <c r="P34" s="66"/>
      <c r="Q34" s="54"/>
      <c r="R34" s="54"/>
      <c r="S34" s="57"/>
      <c r="T34" s="56"/>
      <c r="U34" s="95">
        <f t="shared" si="3"/>
        <v>0</v>
      </c>
      <c r="V34" s="101">
        <f t="shared" si="4"/>
        <v>50</v>
      </c>
      <c r="W34" s="102">
        <f t="shared" si="5"/>
        <v>17.5</v>
      </c>
      <c r="X34" s="103">
        <f t="shared" si="6"/>
        <v>30</v>
      </c>
      <c r="Y34" s="66"/>
      <c r="Z34" s="105"/>
      <c r="AA34" s="108">
        <f t="shared" si="7"/>
        <v>0</v>
      </c>
      <c r="AB34" s="109">
        <f t="shared" si="8"/>
        <v>7.5</v>
      </c>
      <c r="AC34" s="107"/>
      <c r="AD34" s="81"/>
      <c r="AE34" s="110">
        <f t="shared" si="9"/>
        <v>0</v>
      </c>
      <c r="AF34" s="99">
        <f t="shared" si="10"/>
        <v>12.5</v>
      </c>
      <c r="AG34" s="111">
        <f t="shared" si="11"/>
        <v>20</v>
      </c>
      <c r="AI34" s="45">
        <f t="shared" si="12"/>
        <v>50</v>
      </c>
      <c r="AJ34" s="94" t="str">
        <f t="shared" si="13"/>
        <v>FAILED</v>
      </c>
    </row>
    <row r="35" spans="1:36" ht="15.75" thickBot="1" x14ac:dyDescent="0.3">
      <c r="A35" s="10">
        <v>25</v>
      </c>
      <c r="B35" s="122" t="str">
        <f>Attendance!B35</f>
        <v>PANGALINON. PETER GLIMADA</v>
      </c>
      <c r="C35" s="146">
        <f>Attendance!M34</f>
        <v>0</v>
      </c>
      <c r="D35" s="147"/>
      <c r="E35" s="148"/>
      <c r="F35" s="132"/>
      <c r="G35" s="126"/>
      <c r="H35" s="55"/>
      <c r="I35" s="127"/>
      <c r="J35" s="124"/>
      <c r="K35" s="50"/>
      <c r="L35" s="85"/>
      <c r="M35" s="90">
        <f t="shared" si="0"/>
        <v>0</v>
      </c>
      <c r="N35" s="88">
        <f t="shared" si="1"/>
        <v>50</v>
      </c>
      <c r="O35" s="83">
        <f t="shared" si="2"/>
        <v>12.5</v>
      </c>
      <c r="P35" s="66"/>
      <c r="Q35" s="54"/>
      <c r="R35" s="54"/>
      <c r="S35" s="57"/>
      <c r="T35" s="56"/>
      <c r="U35" s="95">
        <f t="shared" si="3"/>
        <v>0</v>
      </c>
      <c r="V35" s="101">
        <f t="shared" si="4"/>
        <v>50</v>
      </c>
      <c r="W35" s="102">
        <f t="shared" si="5"/>
        <v>17.5</v>
      </c>
      <c r="X35" s="103">
        <f t="shared" si="6"/>
        <v>30</v>
      </c>
      <c r="Y35" s="66"/>
      <c r="Z35" s="105"/>
      <c r="AA35" s="108">
        <f t="shared" si="7"/>
        <v>0</v>
      </c>
      <c r="AB35" s="109">
        <f t="shared" si="8"/>
        <v>7.5</v>
      </c>
      <c r="AC35" s="107"/>
      <c r="AD35" s="81"/>
      <c r="AE35" s="110">
        <f t="shared" si="9"/>
        <v>0</v>
      </c>
      <c r="AF35" s="99">
        <f t="shared" si="10"/>
        <v>12.5</v>
      </c>
      <c r="AG35" s="111">
        <f t="shared" si="11"/>
        <v>20</v>
      </c>
      <c r="AI35" s="45">
        <f t="shared" si="12"/>
        <v>50</v>
      </c>
      <c r="AJ35" s="94" t="str">
        <f t="shared" si="13"/>
        <v>FAILED</v>
      </c>
    </row>
    <row r="36" spans="1:36" ht="15.75" thickBot="1" x14ac:dyDescent="0.3">
      <c r="A36" s="5">
        <v>26</v>
      </c>
      <c r="B36" s="122" t="str">
        <f>Attendance!B36</f>
        <v>PARADERO. NIKKO SOLAYAO</v>
      </c>
      <c r="C36" s="146">
        <f>Attendance!M35</f>
        <v>0</v>
      </c>
      <c r="D36" s="147"/>
      <c r="E36" s="148"/>
      <c r="F36" s="132"/>
      <c r="G36" s="126"/>
      <c r="H36" s="55"/>
      <c r="I36" s="127"/>
      <c r="J36" s="124"/>
      <c r="K36" s="50"/>
      <c r="L36" s="85"/>
      <c r="M36" s="90">
        <f t="shared" si="0"/>
        <v>0</v>
      </c>
      <c r="N36" s="88">
        <f t="shared" si="1"/>
        <v>50</v>
      </c>
      <c r="O36" s="83">
        <f t="shared" si="2"/>
        <v>12.5</v>
      </c>
      <c r="P36" s="66"/>
      <c r="Q36" s="54"/>
      <c r="R36" s="54"/>
      <c r="S36" s="57"/>
      <c r="T36" s="56"/>
      <c r="U36" s="95">
        <f t="shared" si="3"/>
        <v>0</v>
      </c>
      <c r="V36" s="101">
        <f t="shared" si="4"/>
        <v>50</v>
      </c>
      <c r="W36" s="102">
        <f t="shared" si="5"/>
        <v>17.5</v>
      </c>
      <c r="X36" s="103">
        <f t="shared" si="6"/>
        <v>30</v>
      </c>
      <c r="Y36" s="66"/>
      <c r="Z36" s="105"/>
      <c r="AA36" s="108">
        <f t="shared" si="7"/>
        <v>0</v>
      </c>
      <c r="AB36" s="109">
        <f t="shared" si="8"/>
        <v>7.5</v>
      </c>
      <c r="AC36" s="107"/>
      <c r="AD36" s="81"/>
      <c r="AE36" s="110">
        <f t="shared" si="9"/>
        <v>0</v>
      </c>
      <c r="AF36" s="99">
        <f t="shared" si="10"/>
        <v>12.5</v>
      </c>
      <c r="AG36" s="111">
        <f t="shared" si="11"/>
        <v>20</v>
      </c>
      <c r="AI36" s="45">
        <f t="shared" si="12"/>
        <v>50</v>
      </c>
      <c r="AJ36" s="94" t="str">
        <f t="shared" si="13"/>
        <v>FAILED</v>
      </c>
    </row>
    <row r="37" spans="1:36" ht="15.75" thickBot="1" x14ac:dyDescent="0.3">
      <c r="A37" s="5">
        <v>27</v>
      </c>
      <c r="B37" s="122" t="str">
        <f>Attendance!B37</f>
        <v>RECALE. IVAN JAY DEMILLO</v>
      </c>
      <c r="C37" s="146">
        <f>Attendance!M36</f>
        <v>0</v>
      </c>
      <c r="D37" s="147"/>
      <c r="E37" s="148"/>
      <c r="F37" s="132"/>
      <c r="G37" s="126"/>
      <c r="H37" s="55"/>
      <c r="I37" s="127"/>
      <c r="J37" s="124"/>
      <c r="K37" s="50"/>
      <c r="L37" s="85"/>
      <c r="M37" s="90">
        <f t="shared" si="0"/>
        <v>0</v>
      </c>
      <c r="N37" s="88">
        <f t="shared" si="1"/>
        <v>50</v>
      </c>
      <c r="O37" s="83">
        <f t="shared" si="2"/>
        <v>12.5</v>
      </c>
      <c r="P37" s="66"/>
      <c r="Q37" s="54"/>
      <c r="R37" s="54"/>
      <c r="S37" s="57"/>
      <c r="T37" s="56"/>
      <c r="U37" s="95">
        <f t="shared" si="3"/>
        <v>0</v>
      </c>
      <c r="V37" s="101">
        <f t="shared" si="4"/>
        <v>50</v>
      </c>
      <c r="W37" s="102">
        <f t="shared" si="5"/>
        <v>17.5</v>
      </c>
      <c r="X37" s="103">
        <f t="shared" si="6"/>
        <v>30</v>
      </c>
      <c r="Y37" s="66"/>
      <c r="Z37" s="105"/>
      <c r="AA37" s="108">
        <f t="shared" si="7"/>
        <v>0</v>
      </c>
      <c r="AB37" s="109">
        <f t="shared" si="8"/>
        <v>7.5</v>
      </c>
      <c r="AC37" s="107"/>
      <c r="AD37" s="81"/>
      <c r="AE37" s="110">
        <f t="shared" si="9"/>
        <v>0</v>
      </c>
      <c r="AF37" s="99">
        <f t="shared" si="10"/>
        <v>12.5</v>
      </c>
      <c r="AG37" s="111">
        <f t="shared" si="11"/>
        <v>20</v>
      </c>
      <c r="AI37" s="45">
        <f t="shared" si="12"/>
        <v>50</v>
      </c>
      <c r="AJ37" s="94" t="str">
        <f t="shared" si="13"/>
        <v>FAILED</v>
      </c>
    </row>
    <row r="38" spans="1:36" ht="15.75" thickBot="1" x14ac:dyDescent="0.3">
      <c r="A38" s="5">
        <v>28</v>
      </c>
      <c r="B38" s="122" t="str">
        <f>Attendance!B38</f>
        <v>ROCABERTE. IVAN JHAMES MEPERANUM</v>
      </c>
      <c r="C38" s="146">
        <f>Attendance!M37</f>
        <v>0</v>
      </c>
      <c r="D38" s="147"/>
      <c r="E38" s="148"/>
      <c r="F38" s="132"/>
      <c r="G38" s="126"/>
      <c r="H38" s="55"/>
      <c r="I38" s="127"/>
      <c r="J38" s="124"/>
      <c r="K38" s="50"/>
      <c r="L38" s="85"/>
      <c r="M38" s="90">
        <f t="shared" si="0"/>
        <v>0</v>
      </c>
      <c r="N38" s="88">
        <f t="shared" si="1"/>
        <v>50</v>
      </c>
      <c r="O38" s="83">
        <f t="shared" si="2"/>
        <v>12.5</v>
      </c>
      <c r="P38" s="66"/>
      <c r="Q38" s="54"/>
      <c r="R38" s="54"/>
      <c r="S38" s="57"/>
      <c r="T38" s="56"/>
      <c r="U38" s="95">
        <f t="shared" si="3"/>
        <v>0</v>
      </c>
      <c r="V38" s="101">
        <f t="shared" si="4"/>
        <v>50</v>
      </c>
      <c r="W38" s="102">
        <f t="shared" si="5"/>
        <v>17.5</v>
      </c>
      <c r="X38" s="103">
        <f t="shared" si="6"/>
        <v>30</v>
      </c>
      <c r="Y38" s="66"/>
      <c r="Z38" s="105"/>
      <c r="AA38" s="108">
        <f t="shared" si="7"/>
        <v>0</v>
      </c>
      <c r="AB38" s="109">
        <f t="shared" si="8"/>
        <v>7.5</v>
      </c>
      <c r="AC38" s="107"/>
      <c r="AD38" s="81"/>
      <c r="AE38" s="110">
        <f t="shared" si="9"/>
        <v>0</v>
      </c>
      <c r="AF38" s="99">
        <f t="shared" si="10"/>
        <v>12.5</v>
      </c>
      <c r="AG38" s="111">
        <f t="shared" si="11"/>
        <v>20</v>
      </c>
      <c r="AI38" s="45">
        <f t="shared" si="12"/>
        <v>50</v>
      </c>
      <c r="AJ38" s="94" t="str">
        <f t="shared" si="13"/>
        <v>FAILED</v>
      </c>
    </row>
    <row r="39" spans="1:36" ht="15.75" thickBot="1" x14ac:dyDescent="0.3">
      <c r="A39" s="5">
        <v>29</v>
      </c>
      <c r="B39" s="122" t="str">
        <f>Attendance!B39</f>
        <v>SARDONCILLO. ELLY MAY YSULAN</v>
      </c>
      <c r="C39" s="146">
        <f>Attendance!M38</f>
        <v>0</v>
      </c>
      <c r="D39" s="147"/>
      <c r="E39" s="148"/>
      <c r="F39" s="132"/>
      <c r="G39" s="126"/>
      <c r="H39" s="55"/>
      <c r="I39" s="127"/>
      <c r="J39" s="124"/>
      <c r="K39" s="50"/>
      <c r="L39" s="85"/>
      <c r="M39" s="90">
        <f t="shared" si="0"/>
        <v>0</v>
      </c>
      <c r="N39" s="88">
        <f t="shared" si="1"/>
        <v>50</v>
      </c>
      <c r="O39" s="83">
        <f t="shared" si="2"/>
        <v>12.5</v>
      </c>
      <c r="P39" s="66"/>
      <c r="Q39" s="54"/>
      <c r="R39" s="54"/>
      <c r="S39" s="57"/>
      <c r="T39" s="56"/>
      <c r="U39" s="95">
        <f t="shared" si="3"/>
        <v>0</v>
      </c>
      <c r="V39" s="101">
        <f t="shared" si="4"/>
        <v>50</v>
      </c>
      <c r="W39" s="102">
        <f t="shared" si="5"/>
        <v>17.5</v>
      </c>
      <c r="X39" s="103">
        <f t="shared" si="6"/>
        <v>30</v>
      </c>
      <c r="Y39" s="66"/>
      <c r="Z39" s="105"/>
      <c r="AA39" s="108">
        <f t="shared" si="7"/>
        <v>0</v>
      </c>
      <c r="AB39" s="109">
        <f t="shared" si="8"/>
        <v>7.5</v>
      </c>
      <c r="AC39" s="107"/>
      <c r="AD39" s="81"/>
      <c r="AE39" s="110">
        <f t="shared" si="9"/>
        <v>0</v>
      </c>
      <c r="AF39" s="99">
        <f t="shared" si="10"/>
        <v>12.5</v>
      </c>
      <c r="AG39" s="111">
        <f t="shared" si="11"/>
        <v>20</v>
      </c>
      <c r="AI39" s="45">
        <f t="shared" si="12"/>
        <v>50</v>
      </c>
      <c r="AJ39" s="94" t="str">
        <f t="shared" si="13"/>
        <v>FAILED</v>
      </c>
    </row>
    <row r="40" spans="1:36" ht="15.75" thickBot="1" x14ac:dyDescent="0.3">
      <c r="A40" s="5">
        <v>30</v>
      </c>
      <c r="B40" s="122" t="str">
        <f>Attendance!B40</f>
        <v>SIAGO. JERICHO CALUNSAG</v>
      </c>
      <c r="C40" s="146">
        <f>Attendance!M39</f>
        <v>0</v>
      </c>
      <c r="D40" s="147"/>
      <c r="E40" s="148"/>
      <c r="F40" s="132"/>
      <c r="G40" s="126"/>
      <c r="H40" s="55"/>
      <c r="I40" s="127"/>
      <c r="J40" s="124"/>
      <c r="K40" s="50"/>
      <c r="L40" s="85"/>
      <c r="M40" s="90">
        <f t="shared" si="0"/>
        <v>0</v>
      </c>
      <c r="N40" s="88">
        <f t="shared" si="1"/>
        <v>50</v>
      </c>
      <c r="O40" s="83">
        <f t="shared" si="2"/>
        <v>12.5</v>
      </c>
      <c r="P40" s="66"/>
      <c r="Q40" s="54"/>
      <c r="R40" s="54"/>
      <c r="S40" s="57"/>
      <c r="T40" s="56"/>
      <c r="U40" s="95">
        <f t="shared" si="3"/>
        <v>0</v>
      </c>
      <c r="V40" s="101">
        <f t="shared" si="4"/>
        <v>50</v>
      </c>
      <c r="W40" s="102">
        <f t="shared" si="5"/>
        <v>17.5</v>
      </c>
      <c r="X40" s="103">
        <f t="shared" si="6"/>
        <v>30</v>
      </c>
      <c r="Y40" s="66"/>
      <c r="Z40" s="105"/>
      <c r="AA40" s="108">
        <f t="shared" si="7"/>
        <v>0</v>
      </c>
      <c r="AB40" s="109">
        <f t="shared" si="8"/>
        <v>7.5</v>
      </c>
      <c r="AC40" s="107"/>
      <c r="AD40" s="81"/>
      <c r="AE40" s="110">
        <f t="shared" si="9"/>
        <v>0</v>
      </c>
      <c r="AF40" s="99">
        <f t="shared" si="10"/>
        <v>12.5</v>
      </c>
      <c r="AG40" s="111">
        <f t="shared" si="11"/>
        <v>20</v>
      </c>
      <c r="AI40" s="45">
        <f t="shared" si="12"/>
        <v>50</v>
      </c>
      <c r="AJ40" s="94" t="str">
        <f t="shared" si="13"/>
        <v>FAILED</v>
      </c>
    </row>
    <row r="41" spans="1:36" ht="15.75" thickBot="1" x14ac:dyDescent="0.3">
      <c r="A41" s="5">
        <v>31</v>
      </c>
      <c r="B41" s="122" t="str">
        <f>Attendance!B41</f>
        <v>SILAGAN. THYRON CABILES</v>
      </c>
      <c r="C41" s="146">
        <f>Attendance!M40</f>
        <v>0</v>
      </c>
      <c r="D41" s="147"/>
      <c r="E41" s="148"/>
      <c r="F41" s="132"/>
      <c r="G41" s="126"/>
      <c r="H41" s="55"/>
      <c r="I41" s="127"/>
      <c r="J41" s="124"/>
      <c r="K41" s="50"/>
      <c r="L41" s="85"/>
      <c r="M41" s="90">
        <f t="shared" si="0"/>
        <v>0</v>
      </c>
      <c r="N41" s="88">
        <f t="shared" si="1"/>
        <v>50</v>
      </c>
      <c r="O41" s="83">
        <f t="shared" si="2"/>
        <v>12.5</v>
      </c>
      <c r="P41" s="66"/>
      <c r="Q41" s="54"/>
      <c r="R41" s="54"/>
      <c r="S41" s="57"/>
      <c r="T41" s="56"/>
      <c r="U41" s="95">
        <f t="shared" si="3"/>
        <v>0</v>
      </c>
      <c r="V41" s="101">
        <f t="shared" si="4"/>
        <v>50</v>
      </c>
      <c r="W41" s="102">
        <f t="shared" si="5"/>
        <v>17.5</v>
      </c>
      <c r="X41" s="103">
        <f t="shared" si="6"/>
        <v>30</v>
      </c>
      <c r="Y41" s="66"/>
      <c r="Z41" s="105"/>
      <c r="AA41" s="108">
        <f t="shared" si="7"/>
        <v>0</v>
      </c>
      <c r="AB41" s="109">
        <f t="shared" si="8"/>
        <v>7.5</v>
      </c>
      <c r="AC41" s="107"/>
      <c r="AD41" s="81"/>
      <c r="AE41" s="110">
        <f t="shared" si="9"/>
        <v>0</v>
      </c>
      <c r="AF41" s="99">
        <f t="shared" si="10"/>
        <v>12.5</v>
      </c>
      <c r="AG41" s="111">
        <f t="shared" si="11"/>
        <v>20</v>
      </c>
      <c r="AI41" s="45">
        <f t="shared" si="12"/>
        <v>50</v>
      </c>
      <c r="AJ41" s="94" t="str">
        <f t="shared" si="13"/>
        <v>FAILED</v>
      </c>
    </row>
    <row r="42" spans="1:36" ht="15.75" thickBot="1" x14ac:dyDescent="0.3">
      <c r="A42" s="5">
        <v>32</v>
      </c>
      <c r="B42" s="122" t="str">
        <f>Attendance!B42</f>
        <v>SUERTE. KHENT BRIANE ORCASITAS</v>
      </c>
      <c r="C42" s="146">
        <f>Attendance!M41</f>
        <v>0</v>
      </c>
      <c r="D42" s="147"/>
      <c r="E42" s="148"/>
      <c r="F42" s="132"/>
      <c r="G42" s="126"/>
      <c r="H42" s="55"/>
      <c r="I42" s="127"/>
      <c r="J42" s="124"/>
      <c r="K42" s="50"/>
      <c r="L42" s="85"/>
      <c r="M42" s="90">
        <f t="shared" si="0"/>
        <v>0</v>
      </c>
      <c r="N42" s="88">
        <f t="shared" si="1"/>
        <v>50</v>
      </c>
      <c r="O42" s="83">
        <f t="shared" si="2"/>
        <v>12.5</v>
      </c>
      <c r="P42" s="66"/>
      <c r="Q42" s="54"/>
      <c r="R42" s="54"/>
      <c r="S42" s="57"/>
      <c r="T42" s="56"/>
      <c r="U42" s="95">
        <f t="shared" si="3"/>
        <v>0</v>
      </c>
      <c r="V42" s="101">
        <f t="shared" si="4"/>
        <v>50</v>
      </c>
      <c r="W42" s="102">
        <f t="shared" si="5"/>
        <v>17.5</v>
      </c>
      <c r="X42" s="103">
        <f t="shared" si="6"/>
        <v>30</v>
      </c>
      <c r="Y42" s="66"/>
      <c r="Z42" s="105"/>
      <c r="AA42" s="108">
        <f t="shared" si="7"/>
        <v>0</v>
      </c>
      <c r="AB42" s="109">
        <f t="shared" si="8"/>
        <v>7.5</v>
      </c>
      <c r="AC42" s="107"/>
      <c r="AD42" s="81"/>
      <c r="AE42" s="110">
        <f t="shared" si="9"/>
        <v>0</v>
      </c>
      <c r="AF42" s="99">
        <f t="shared" si="10"/>
        <v>12.5</v>
      </c>
      <c r="AG42" s="111">
        <f t="shared" si="11"/>
        <v>20</v>
      </c>
      <c r="AI42" s="45">
        <f t="shared" si="12"/>
        <v>50</v>
      </c>
      <c r="AJ42" s="94" t="str">
        <f t="shared" si="13"/>
        <v>FAILED</v>
      </c>
    </row>
    <row r="43" spans="1:36" ht="15.75" thickBot="1" x14ac:dyDescent="0.3">
      <c r="A43" s="5">
        <v>33</v>
      </c>
      <c r="B43" s="122" t="str">
        <f>Attendance!B43</f>
        <v>SUMUGAT. EDGARDO JR. CORDEVILLA</v>
      </c>
      <c r="C43" s="146">
        <f>Attendance!M42</f>
        <v>0</v>
      </c>
      <c r="D43" s="147"/>
      <c r="E43" s="148"/>
      <c r="F43" s="132"/>
      <c r="G43" s="126"/>
      <c r="H43" s="55"/>
      <c r="I43" s="127"/>
      <c r="J43" s="124"/>
      <c r="K43" s="50"/>
      <c r="L43" s="85"/>
      <c r="M43" s="90">
        <f t="shared" si="0"/>
        <v>0</v>
      </c>
      <c r="N43" s="88">
        <f t="shared" si="1"/>
        <v>50</v>
      </c>
      <c r="O43" s="83">
        <f t="shared" si="2"/>
        <v>12.5</v>
      </c>
      <c r="P43" s="66"/>
      <c r="Q43" s="54"/>
      <c r="R43" s="54"/>
      <c r="S43" s="57"/>
      <c r="T43" s="56"/>
      <c r="U43" s="95">
        <f t="shared" si="3"/>
        <v>0</v>
      </c>
      <c r="V43" s="101">
        <f t="shared" si="4"/>
        <v>50</v>
      </c>
      <c r="W43" s="102">
        <f t="shared" si="5"/>
        <v>17.5</v>
      </c>
      <c r="X43" s="103">
        <f t="shared" si="6"/>
        <v>30</v>
      </c>
      <c r="Y43" s="66"/>
      <c r="Z43" s="105"/>
      <c r="AA43" s="108">
        <f t="shared" si="7"/>
        <v>0</v>
      </c>
      <c r="AB43" s="109">
        <f t="shared" si="8"/>
        <v>7.5</v>
      </c>
      <c r="AC43" s="107"/>
      <c r="AD43" s="81"/>
      <c r="AE43" s="110">
        <f t="shared" si="9"/>
        <v>0</v>
      </c>
      <c r="AF43" s="99">
        <f t="shared" si="10"/>
        <v>12.5</v>
      </c>
      <c r="AG43" s="111">
        <f t="shared" si="11"/>
        <v>20</v>
      </c>
      <c r="AI43" s="45">
        <f t="shared" si="12"/>
        <v>50</v>
      </c>
      <c r="AJ43" s="94" t="str">
        <f t="shared" si="13"/>
        <v>FAILED</v>
      </c>
    </row>
    <row r="44" spans="1:36" ht="15.75" thickBot="1" x14ac:dyDescent="0.3">
      <c r="A44" s="5">
        <v>34</v>
      </c>
      <c r="B44" s="122" t="str">
        <f>Attendance!B44</f>
        <v>TABLATIN. CHRISTIAN JAY BAYONA</v>
      </c>
      <c r="C44" s="146">
        <f>Attendance!M43</f>
        <v>0</v>
      </c>
      <c r="D44" s="147"/>
      <c r="E44" s="148"/>
      <c r="F44" s="132"/>
      <c r="G44" s="126"/>
      <c r="H44" s="55"/>
      <c r="I44" s="127"/>
      <c r="J44" s="124"/>
      <c r="K44" s="50"/>
      <c r="L44" s="85"/>
      <c r="M44" s="90">
        <f t="shared" si="0"/>
        <v>0</v>
      </c>
      <c r="N44" s="88">
        <f t="shared" si="1"/>
        <v>50</v>
      </c>
      <c r="O44" s="83">
        <f t="shared" si="2"/>
        <v>12.5</v>
      </c>
      <c r="P44" s="66"/>
      <c r="Q44" s="54"/>
      <c r="R44" s="54"/>
      <c r="S44" s="57"/>
      <c r="T44" s="56"/>
      <c r="U44" s="95">
        <f t="shared" si="3"/>
        <v>0</v>
      </c>
      <c r="V44" s="101">
        <f t="shared" si="4"/>
        <v>50</v>
      </c>
      <c r="W44" s="102">
        <f t="shared" si="5"/>
        <v>17.5</v>
      </c>
      <c r="X44" s="103">
        <f t="shared" si="6"/>
        <v>30</v>
      </c>
      <c r="Y44" s="66"/>
      <c r="Z44" s="105"/>
      <c r="AA44" s="108">
        <f t="shared" si="7"/>
        <v>0</v>
      </c>
      <c r="AB44" s="109">
        <f t="shared" si="8"/>
        <v>7.5</v>
      </c>
      <c r="AC44" s="107"/>
      <c r="AD44" s="81"/>
      <c r="AE44" s="110">
        <f t="shared" si="9"/>
        <v>0</v>
      </c>
      <c r="AF44" s="99">
        <f t="shared" si="10"/>
        <v>12.5</v>
      </c>
      <c r="AG44" s="111">
        <f t="shared" si="11"/>
        <v>20</v>
      </c>
      <c r="AI44" s="45">
        <f t="shared" si="12"/>
        <v>50</v>
      </c>
      <c r="AJ44" s="94" t="str">
        <f t="shared" si="13"/>
        <v>FAILED</v>
      </c>
    </row>
    <row r="45" spans="1:36" ht="15.75" thickBot="1" x14ac:dyDescent="0.3">
      <c r="A45" s="5">
        <v>35</v>
      </c>
      <c r="B45" s="122" t="str">
        <f>Attendance!B45</f>
        <v>TAMPUS. CALE JANINE BRINGAS</v>
      </c>
      <c r="C45" s="146">
        <f>Attendance!M44</f>
        <v>0</v>
      </c>
      <c r="D45" s="147"/>
      <c r="E45" s="148"/>
      <c r="F45" s="132"/>
      <c r="G45" s="126"/>
      <c r="H45" s="55"/>
      <c r="I45" s="127"/>
      <c r="J45" s="124"/>
      <c r="K45" s="50"/>
      <c r="L45" s="85"/>
      <c r="M45" s="90">
        <f t="shared" si="0"/>
        <v>0</v>
      </c>
      <c r="N45" s="88">
        <f t="shared" si="1"/>
        <v>50</v>
      </c>
      <c r="O45" s="83">
        <f t="shared" si="2"/>
        <v>12.5</v>
      </c>
      <c r="P45" s="66"/>
      <c r="Q45" s="54"/>
      <c r="R45" s="54"/>
      <c r="S45" s="57"/>
      <c r="T45" s="56"/>
      <c r="U45" s="95">
        <f t="shared" si="3"/>
        <v>0</v>
      </c>
      <c r="V45" s="101">
        <f t="shared" si="4"/>
        <v>50</v>
      </c>
      <c r="W45" s="102">
        <f t="shared" si="5"/>
        <v>17.5</v>
      </c>
      <c r="X45" s="103">
        <f t="shared" si="6"/>
        <v>30</v>
      </c>
      <c r="Y45" s="66"/>
      <c r="Z45" s="105"/>
      <c r="AA45" s="108">
        <f t="shared" si="7"/>
        <v>0</v>
      </c>
      <c r="AB45" s="109">
        <f t="shared" si="8"/>
        <v>7.5</v>
      </c>
      <c r="AC45" s="107"/>
      <c r="AD45" s="81"/>
      <c r="AE45" s="110">
        <f t="shared" si="9"/>
        <v>0</v>
      </c>
      <c r="AF45" s="99">
        <f t="shared" si="10"/>
        <v>12.5</v>
      </c>
      <c r="AG45" s="111">
        <f t="shared" si="11"/>
        <v>20</v>
      </c>
      <c r="AI45" s="45">
        <f t="shared" si="12"/>
        <v>50</v>
      </c>
      <c r="AJ45" s="94" t="str">
        <f t="shared" si="13"/>
        <v>FAILED</v>
      </c>
    </row>
    <row r="46" spans="1:36" ht="15.75" thickBot="1" x14ac:dyDescent="0.3">
      <c r="A46" s="5">
        <v>36</v>
      </c>
      <c r="B46" s="122" t="str">
        <f>Attendance!B46</f>
        <v>TEJADA. JURIELLE MARTIZANO</v>
      </c>
      <c r="C46" s="146">
        <f>Attendance!M45</f>
        <v>0</v>
      </c>
      <c r="D46" s="147"/>
      <c r="E46" s="148"/>
      <c r="F46" s="132"/>
      <c r="G46" s="126"/>
      <c r="H46" s="55"/>
      <c r="I46" s="127"/>
      <c r="J46" s="124"/>
      <c r="K46" s="50"/>
      <c r="L46" s="85"/>
      <c r="M46" s="90">
        <f t="shared" si="0"/>
        <v>0</v>
      </c>
      <c r="N46" s="88">
        <f t="shared" si="1"/>
        <v>50</v>
      </c>
      <c r="O46" s="83">
        <f t="shared" si="2"/>
        <v>12.5</v>
      </c>
      <c r="P46" s="66"/>
      <c r="Q46" s="54"/>
      <c r="R46" s="54"/>
      <c r="S46" s="57"/>
      <c r="T46" s="56"/>
      <c r="U46" s="95">
        <f t="shared" si="3"/>
        <v>0</v>
      </c>
      <c r="V46" s="101">
        <f t="shared" si="4"/>
        <v>50</v>
      </c>
      <c r="W46" s="102">
        <f t="shared" si="5"/>
        <v>17.5</v>
      </c>
      <c r="X46" s="103">
        <f t="shared" si="6"/>
        <v>30</v>
      </c>
      <c r="Y46" s="66"/>
      <c r="Z46" s="105"/>
      <c r="AA46" s="108">
        <f t="shared" si="7"/>
        <v>0</v>
      </c>
      <c r="AB46" s="109">
        <f t="shared" si="8"/>
        <v>7.5</v>
      </c>
      <c r="AC46" s="107"/>
      <c r="AD46" s="81"/>
      <c r="AE46" s="110">
        <f t="shared" si="9"/>
        <v>0</v>
      </c>
      <c r="AF46" s="99">
        <f t="shared" si="10"/>
        <v>12.5</v>
      </c>
      <c r="AG46" s="111">
        <f t="shared" si="11"/>
        <v>20</v>
      </c>
      <c r="AI46" s="45">
        <f t="shared" si="12"/>
        <v>50</v>
      </c>
      <c r="AJ46" s="94" t="str">
        <f t="shared" si="13"/>
        <v>FAILED</v>
      </c>
    </row>
    <row r="47" spans="1:36" ht="15.75" thickBot="1" x14ac:dyDescent="0.3">
      <c r="A47" s="5">
        <v>37</v>
      </c>
      <c r="B47" s="122" t="str">
        <f>Attendance!B47</f>
        <v>USMAN. KATHERINE YANONG</v>
      </c>
      <c r="C47" s="146">
        <f>Attendance!M46</f>
        <v>0</v>
      </c>
      <c r="D47" s="147"/>
      <c r="E47" s="148"/>
      <c r="F47" s="132"/>
      <c r="G47" s="126"/>
      <c r="H47" s="55"/>
      <c r="I47" s="127"/>
      <c r="J47" s="124"/>
      <c r="K47" s="50"/>
      <c r="L47" s="85"/>
      <c r="M47" s="90">
        <f t="shared" si="0"/>
        <v>0</v>
      </c>
      <c r="N47" s="88">
        <f t="shared" si="1"/>
        <v>50</v>
      </c>
      <c r="O47" s="83">
        <f t="shared" si="2"/>
        <v>12.5</v>
      </c>
      <c r="P47" s="66"/>
      <c r="Q47" s="54"/>
      <c r="R47" s="54"/>
      <c r="S47" s="57"/>
      <c r="T47" s="56"/>
      <c r="U47" s="95">
        <f t="shared" si="3"/>
        <v>0</v>
      </c>
      <c r="V47" s="101">
        <f t="shared" si="4"/>
        <v>50</v>
      </c>
      <c r="W47" s="102">
        <f t="shared" si="5"/>
        <v>17.5</v>
      </c>
      <c r="X47" s="103">
        <f t="shared" si="6"/>
        <v>30</v>
      </c>
      <c r="Y47" s="66"/>
      <c r="Z47" s="105"/>
      <c r="AA47" s="108">
        <f t="shared" si="7"/>
        <v>0</v>
      </c>
      <c r="AB47" s="109">
        <f t="shared" si="8"/>
        <v>7.5</v>
      </c>
      <c r="AC47" s="107"/>
      <c r="AD47" s="81"/>
      <c r="AE47" s="110">
        <f t="shared" si="9"/>
        <v>0</v>
      </c>
      <c r="AF47" s="99">
        <f t="shared" si="10"/>
        <v>12.5</v>
      </c>
      <c r="AG47" s="111">
        <f t="shared" si="11"/>
        <v>20</v>
      </c>
      <c r="AI47" s="45">
        <f t="shared" si="12"/>
        <v>50</v>
      </c>
      <c r="AJ47" s="94" t="str">
        <f t="shared" si="13"/>
        <v>FAILED</v>
      </c>
    </row>
    <row r="48" spans="1:36" ht="15.75" thickBot="1" x14ac:dyDescent="0.3">
      <c r="A48" s="5">
        <v>38</v>
      </c>
      <c r="B48" s="122" t="str">
        <f>Attendance!B48</f>
        <v>VILLARBA. JACOB PERNITO</v>
      </c>
      <c r="C48" s="146">
        <f>Attendance!M47</f>
        <v>0</v>
      </c>
      <c r="D48" s="147"/>
      <c r="E48" s="148"/>
      <c r="F48" s="132"/>
      <c r="G48" s="126"/>
      <c r="H48" s="55"/>
      <c r="I48" s="127"/>
      <c r="J48" s="124"/>
      <c r="K48" s="50"/>
      <c r="L48" s="85"/>
      <c r="M48" s="90">
        <f t="shared" si="0"/>
        <v>0</v>
      </c>
      <c r="N48" s="88">
        <f t="shared" si="1"/>
        <v>50</v>
      </c>
      <c r="O48" s="83">
        <f t="shared" si="2"/>
        <v>12.5</v>
      </c>
      <c r="P48" s="66"/>
      <c r="Q48" s="54"/>
      <c r="R48" s="54"/>
      <c r="S48" s="57"/>
      <c r="T48" s="56"/>
      <c r="U48" s="95">
        <f t="shared" si="3"/>
        <v>0</v>
      </c>
      <c r="V48" s="101">
        <f t="shared" si="4"/>
        <v>50</v>
      </c>
      <c r="W48" s="102">
        <f t="shared" si="5"/>
        <v>17.5</v>
      </c>
      <c r="X48" s="103">
        <f t="shared" si="6"/>
        <v>30</v>
      </c>
      <c r="Y48" s="66"/>
      <c r="Z48" s="105"/>
      <c r="AA48" s="108">
        <f t="shared" si="7"/>
        <v>0</v>
      </c>
      <c r="AB48" s="109">
        <f t="shared" si="8"/>
        <v>7.5</v>
      </c>
      <c r="AC48" s="107"/>
      <c r="AD48" s="81"/>
      <c r="AE48" s="110">
        <f t="shared" si="9"/>
        <v>0</v>
      </c>
      <c r="AF48" s="99">
        <f t="shared" si="10"/>
        <v>12.5</v>
      </c>
      <c r="AG48" s="111">
        <f t="shared" si="11"/>
        <v>20</v>
      </c>
      <c r="AI48" s="45">
        <f t="shared" si="12"/>
        <v>50</v>
      </c>
      <c r="AJ48" s="94" t="str">
        <f t="shared" si="13"/>
        <v>FAILED</v>
      </c>
    </row>
    <row r="49" spans="1:36" ht="15.75" thickBot="1" x14ac:dyDescent="0.3">
      <c r="A49" s="5">
        <v>39</v>
      </c>
      <c r="B49" s="122">
        <f>Attendance!B49</f>
        <v>0</v>
      </c>
      <c r="C49" s="149">
        <f>Attendance!M48</f>
        <v>0</v>
      </c>
      <c r="D49" s="150"/>
      <c r="E49" s="151"/>
      <c r="F49" s="133"/>
      <c r="G49" s="134"/>
      <c r="H49" s="135"/>
      <c r="I49" s="136"/>
      <c r="J49" s="125"/>
      <c r="K49" s="64"/>
      <c r="L49" s="86"/>
      <c r="M49" s="91">
        <f t="shared" si="0"/>
        <v>0</v>
      </c>
      <c r="N49" s="137">
        <f t="shared" si="1"/>
        <v>50</v>
      </c>
      <c r="O49" s="65">
        <f t="shared" si="2"/>
        <v>12.5</v>
      </c>
      <c r="P49" s="69"/>
      <c r="Q49" s="63"/>
      <c r="R49" s="63"/>
      <c r="S49" s="70"/>
      <c r="T49" s="71"/>
      <c r="U49" s="95">
        <f t="shared" si="3"/>
        <v>0</v>
      </c>
      <c r="V49" s="101">
        <f t="shared" si="4"/>
        <v>50</v>
      </c>
      <c r="W49" s="102">
        <f t="shared" si="5"/>
        <v>17.5</v>
      </c>
      <c r="X49" s="103">
        <f t="shared" si="6"/>
        <v>30</v>
      </c>
      <c r="Y49" s="69"/>
      <c r="Z49" s="106"/>
      <c r="AA49" s="108">
        <f t="shared" si="7"/>
        <v>0</v>
      </c>
      <c r="AB49" s="109">
        <f t="shared" si="8"/>
        <v>7.5</v>
      </c>
      <c r="AC49" s="107"/>
      <c r="AD49" s="82"/>
      <c r="AE49" s="110">
        <f t="shared" si="9"/>
        <v>0</v>
      </c>
      <c r="AF49" s="99">
        <f t="shared" si="10"/>
        <v>12.5</v>
      </c>
      <c r="AG49" s="111">
        <f t="shared" si="11"/>
        <v>20</v>
      </c>
      <c r="AI49" s="45">
        <f t="shared" si="12"/>
        <v>50</v>
      </c>
      <c r="AJ49" s="94" t="str">
        <f t="shared" si="13"/>
        <v>FAILED</v>
      </c>
    </row>
  </sheetData>
  <mergeCells count="54">
    <mergeCell ref="C1:AG5"/>
    <mergeCell ref="C6:AG6"/>
    <mergeCell ref="C8:E8"/>
    <mergeCell ref="F8:O8"/>
    <mergeCell ref="C9:E9"/>
    <mergeCell ref="F9:O9"/>
    <mergeCell ref="Y8:AB8"/>
    <mergeCell ref="Y9:AB9"/>
    <mergeCell ref="AC8:AF8"/>
    <mergeCell ref="AC9:AF9"/>
    <mergeCell ref="C10:E10"/>
    <mergeCell ref="C11:E11"/>
    <mergeCell ref="P8:W8"/>
    <mergeCell ref="C23:E23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P9:W9"/>
    <mergeCell ref="C35:E35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48:E48"/>
    <mergeCell ref="C49:E49"/>
    <mergeCell ref="C7:X7"/>
    <mergeCell ref="Y7:AG7"/>
    <mergeCell ref="C42:E42"/>
    <mergeCell ref="C43:E43"/>
    <mergeCell ref="C44:E44"/>
    <mergeCell ref="C45:E45"/>
    <mergeCell ref="C46:E46"/>
    <mergeCell ref="C47:E47"/>
    <mergeCell ref="C36:E36"/>
    <mergeCell ref="C37:E37"/>
    <mergeCell ref="C38:E38"/>
    <mergeCell ref="C39:E39"/>
    <mergeCell ref="C40:E40"/>
    <mergeCell ref="C41:E41"/>
  </mergeCells>
  <conditionalFormatting sqref="AC8 AF10:AF49 AI7:AI49">
    <cfRule type="cellIs" dxfId="10" priority="4" operator="lessThan">
      <formula>75</formula>
    </cfRule>
  </conditionalFormatting>
  <conditionalFormatting sqref="AG10:AG49">
    <cfRule type="containsText" dxfId="9" priority="3" operator="containsText" text="FAILED">
      <formula>NOT(ISERROR(SEARCH("FAILED",AG10)))</formula>
    </cfRule>
  </conditionalFormatting>
  <conditionalFormatting sqref="AJ7:AJ49">
    <cfRule type="containsText" dxfId="8" priority="1" operator="containsText" text="FAILED">
      <formula>NOT(ISERROR(SEARCH("FAILED",AJ7)))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4D5A8-AEF9-4806-96F4-D828EB934E42}">
  <dimension ref="A1:AL49"/>
  <sheetViews>
    <sheetView topLeftCell="B7" zoomScale="90" zoomScaleNormal="90" workbookViewId="0">
      <selection activeCell="AI18" sqref="AI18"/>
    </sheetView>
  </sheetViews>
  <sheetFormatPr defaultRowHeight="15" x14ac:dyDescent="0.25"/>
  <cols>
    <col min="2" max="2" width="44.5703125" customWidth="1"/>
    <col min="4" max="4" width="4.42578125" customWidth="1"/>
    <col min="5" max="5" width="1.140625" customWidth="1"/>
    <col min="24" max="24" width="19.140625" customWidth="1"/>
    <col min="29" max="29" width="10.85546875" customWidth="1"/>
    <col min="32" max="32" width="10.5703125" customWidth="1"/>
    <col min="33" max="33" width="19.5703125" customWidth="1"/>
    <col min="35" max="35" width="22.28515625" customWidth="1"/>
    <col min="36" max="36" width="20.28515625" customWidth="1"/>
  </cols>
  <sheetData>
    <row r="1" spans="1:38" x14ac:dyDescent="0.25">
      <c r="B1" s="16" t="str">
        <f>Attendance!B1</f>
        <v>SUBJECT: COMP 1</v>
      </c>
      <c r="C1" s="168" t="s">
        <v>16</v>
      </c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</row>
    <row r="2" spans="1:38" x14ac:dyDescent="0.25">
      <c r="B2" s="16" t="str">
        <f>Attendance!B2</f>
        <v>COURSE/YEAR: BSIT 1A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</row>
    <row r="3" spans="1:38" x14ac:dyDescent="0.25">
      <c r="B3" s="16" t="str">
        <f>Attendance!B3</f>
        <v xml:space="preserve">TIME: 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</row>
    <row r="4" spans="1:38" x14ac:dyDescent="0.25">
      <c r="B4" s="16" t="str">
        <f>Attendance!B4</f>
        <v xml:space="preserve">ROOM: </v>
      </c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</row>
    <row r="5" spans="1:38" x14ac:dyDescent="0.25">
      <c r="B5" s="16" t="str">
        <f>Attendance!B5</f>
        <v xml:space="preserve">UNITS: </v>
      </c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</row>
    <row r="6" spans="1:38" ht="15.75" thickBot="1" x14ac:dyDescent="0.3">
      <c r="A6" s="1"/>
      <c r="B6" s="2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I6" s="20" t="s">
        <v>9</v>
      </c>
      <c r="AJ6" s="19"/>
      <c r="AK6" s="19"/>
      <c r="AL6" s="19"/>
    </row>
    <row r="7" spans="1:38" ht="29.25" thickBot="1" x14ac:dyDescent="0.5">
      <c r="C7" s="202" t="s">
        <v>70</v>
      </c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153"/>
      <c r="Q7" s="153"/>
      <c r="R7" s="153"/>
      <c r="S7" s="153"/>
      <c r="T7" s="153"/>
      <c r="U7" s="153"/>
      <c r="V7" s="153"/>
      <c r="W7" s="153"/>
      <c r="X7" s="153"/>
      <c r="Y7" s="154" t="s">
        <v>71</v>
      </c>
      <c r="Z7" s="155"/>
      <c r="AA7" s="155"/>
      <c r="AB7" s="155"/>
      <c r="AC7" s="155"/>
      <c r="AD7" s="155"/>
      <c r="AE7" s="155"/>
      <c r="AF7" s="155"/>
      <c r="AG7" s="156"/>
      <c r="AI7" s="212" t="s">
        <v>17</v>
      </c>
      <c r="AJ7" s="214" t="s">
        <v>2</v>
      </c>
    </row>
    <row r="8" spans="1:38" ht="15.75" thickBot="1" x14ac:dyDescent="0.3">
      <c r="A8" s="3"/>
      <c r="B8" s="72" t="s">
        <v>0</v>
      </c>
      <c r="C8" s="169" t="s">
        <v>1</v>
      </c>
      <c r="D8" s="170"/>
      <c r="E8" s="171"/>
      <c r="F8" s="172" t="s">
        <v>72</v>
      </c>
      <c r="G8" s="170"/>
      <c r="H8" s="170"/>
      <c r="I8" s="170"/>
      <c r="J8" s="170"/>
      <c r="K8" s="170"/>
      <c r="L8" s="170"/>
      <c r="M8" s="170"/>
      <c r="N8" s="170"/>
      <c r="O8" s="171"/>
      <c r="P8" s="163" t="s">
        <v>73</v>
      </c>
      <c r="Q8" s="163"/>
      <c r="R8" s="163"/>
      <c r="S8" s="163"/>
      <c r="T8" s="163"/>
      <c r="U8" s="163"/>
      <c r="V8" s="163"/>
      <c r="W8" s="164"/>
      <c r="X8" s="97" t="s">
        <v>77</v>
      </c>
      <c r="Y8" s="180" t="s">
        <v>79</v>
      </c>
      <c r="Z8" s="181"/>
      <c r="AA8" s="181"/>
      <c r="AB8" s="182"/>
      <c r="AC8" s="186" t="s">
        <v>75</v>
      </c>
      <c r="AD8" s="186"/>
      <c r="AE8" s="186"/>
      <c r="AF8" s="187"/>
      <c r="AG8" s="98" t="s">
        <v>78</v>
      </c>
      <c r="AI8" s="213" t="s">
        <v>3</v>
      </c>
      <c r="AJ8" s="215"/>
    </row>
    <row r="9" spans="1:38" ht="16.5" thickTop="1" thickBot="1" x14ac:dyDescent="0.3">
      <c r="A9" s="5"/>
      <c r="B9" s="120"/>
      <c r="C9" s="193"/>
      <c r="D9" s="194"/>
      <c r="E9" s="194"/>
      <c r="F9" s="195">
        <v>0.25</v>
      </c>
      <c r="G9" s="196"/>
      <c r="H9" s="196"/>
      <c r="I9" s="196"/>
      <c r="J9" s="197"/>
      <c r="K9" s="197"/>
      <c r="L9" s="197"/>
      <c r="M9" s="196"/>
      <c r="N9" s="196"/>
      <c r="O9" s="198"/>
      <c r="P9" s="165">
        <v>0.35</v>
      </c>
      <c r="Q9" s="166"/>
      <c r="R9" s="166"/>
      <c r="S9" s="166"/>
      <c r="T9" s="166"/>
      <c r="U9" s="166"/>
      <c r="V9" s="166"/>
      <c r="W9" s="167"/>
      <c r="X9" s="96">
        <v>0.6</v>
      </c>
      <c r="Y9" s="183" t="s">
        <v>76</v>
      </c>
      <c r="Z9" s="184"/>
      <c r="AA9" s="184"/>
      <c r="AB9" s="185"/>
      <c r="AC9" s="188">
        <v>0.25</v>
      </c>
      <c r="AD9" s="188"/>
      <c r="AE9" s="188"/>
      <c r="AF9" s="189"/>
      <c r="AG9" s="100">
        <v>0.4</v>
      </c>
      <c r="AI9" s="112">
        <v>1</v>
      </c>
      <c r="AJ9" s="93"/>
    </row>
    <row r="10" spans="1:38" ht="15.75" thickBot="1" x14ac:dyDescent="0.3">
      <c r="A10" s="7"/>
      <c r="B10" s="121"/>
      <c r="C10" s="199">
        <v>5</v>
      </c>
      <c r="D10" s="200"/>
      <c r="E10" s="201"/>
      <c r="F10" s="129">
        <v>50</v>
      </c>
      <c r="G10" s="128">
        <v>50</v>
      </c>
      <c r="H10" s="126">
        <v>50</v>
      </c>
      <c r="I10" s="127"/>
      <c r="J10" s="123"/>
      <c r="K10" s="76"/>
      <c r="L10" s="84"/>
      <c r="M10" s="87">
        <f>SUM(F10:L10)</f>
        <v>150</v>
      </c>
      <c r="N10" s="88">
        <f>(M10/SUM(($F$10:$L$10))*50+50)</f>
        <v>100</v>
      </c>
      <c r="O10" s="89">
        <f>N10*0.25</f>
        <v>25</v>
      </c>
      <c r="P10" s="73">
        <v>50</v>
      </c>
      <c r="Q10" s="74">
        <v>50</v>
      </c>
      <c r="R10" s="74"/>
      <c r="S10" s="75"/>
      <c r="T10" s="75"/>
      <c r="U10" s="95">
        <f>SUM(P10:T10)</f>
        <v>100</v>
      </c>
      <c r="V10" s="101">
        <f>(U10/SUM(($P$10:$T$10))*50+50)</f>
        <v>100</v>
      </c>
      <c r="W10" s="102">
        <f>V10*0.35</f>
        <v>35</v>
      </c>
      <c r="X10" s="103">
        <f>O10+W10</f>
        <v>60</v>
      </c>
      <c r="Y10" s="73">
        <v>100</v>
      </c>
      <c r="Z10" s="104">
        <v>50</v>
      </c>
      <c r="AA10" s="108">
        <f>SUM(Y10:Z10)</f>
        <v>150</v>
      </c>
      <c r="AB10" s="109">
        <f>((AA10/SUM(($Y$10:$Z$10))*50+50)*0.15)</f>
        <v>15</v>
      </c>
      <c r="AC10" s="107">
        <v>50</v>
      </c>
      <c r="AD10" s="80">
        <v>50</v>
      </c>
      <c r="AE10" s="110">
        <f>SUM(AC10:AD10)</f>
        <v>100</v>
      </c>
      <c r="AF10" s="99">
        <f>((AE10/SUM(($AC$10:$AD$10))*50+50)*0.25)</f>
        <v>25</v>
      </c>
      <c r="AG10" s="111">
        <f>AB10+AF10</f>
        <v>40</v>
      </c>
      <c r="AI10" s="45">
        <f>X10+AG10</f>
        <v>100</v>
      </c>
      <c r="AJ10" s="94" t="str">
        <f>IF(AI10&lt;74.5,"FAILED","PASSED")</f>
        <v>PASSED</v>
      </c>
    </row>
    <row r="11" spans="1:38" ht="15.75" thickBot="1" x14ac:dyDescent="0.3">
      <c r="A11" s="10">
        <v>1</v>
      </c>
      <c r="B11" s="122" t="str">
        <f>Attendance!B11</f>
        <v>ASPE. SOPHIA ERICKA PACIENCIA</v>
      </c>
      <c r="C11" s="190">
        <f>Attendance!X10</f>
        <v>5</v>
      </c>
      <c r="D11" s="191"/>
      <c r="E11" s="192"/>
      <c r="F11" s="130"/>
      <c r="G11" s="128"/>
      <c r="H11" s="55"/>
      <c r="I11" s="127"/>
      <c r="J11" s="124"/>
      <c r="K11" s="50"/>
      <c r="L11" s="85"/>
      <c r="M11" s="90">
        <f t="shared" ref="M11:M49" si="0">SUM(F11:L11)</f>
        <v>0</v>
      </c>
      <c r="N11" s="88">
        <f t="shared" ref="N11:N49" si="1">(M11/SUM(($F$10:$L$10))*50+50)</f>
        <v>50</v>
      </c>
      <c r="O11" s="83">
        <f t="shared" ref="O11:O49" si="2">N11*0.25</f>
        <v>12.5</v>
      </c>
      <c r="P11" s="66"/>
      <c r="Q11" s="55"/>
      <c r="R11" s="55"/>
      <c r="S11" s="56"/>
      <c r="T11" s="56"/>
      <c r="U11" s="95">
        <f t="shared" ref="U11:U49" si="3">SUM(P11:T11)</f>
        <v>0</v>
      </c>
      <c r="V11" s="101">
        <f t="shared" ref="V11:V49" si="4">(U11/SUM(($P$10:$T$10))*50+50)</f>
        <v>50</v>
      </c>
      <c r="W11" s="102">
        <f t="shared" ref="W11:W49" si="5">V11*0.35</f>
        <v>17.5</v>
      </c>
      <c r="X11" s="103">
        <f t="shared" ref="X11:X49" si="6">O11+W11</f>
        <v>30</v>
      </c>
      <c r="Y11" s="66"/>
      <c r="Z11" s="105"/>
      <c r="AA11" s="108">
        <f t="shared" ref="AA11:AA49" si="7">SUM(Y11:Z11)</f>
        <v>0</v>
      </c>
      <c r="AB11" s="109">
        <f t="shared" ref="AB11:AB49" si="8">((AA11/SUM(($Y$10:$Z$10))*50+50)*0.15)</f>
        <v>7.5</v>
      </c>
      <c r="AC11" s="107"/>
      <c r="AD11" s="81"/>
      <c r="AE11" s="110">
        <f t="shared" ref="AE11:AE49" si="9">SUM(AC11:AD11)</f>
        <v>0</v>
      </c>
      <c r="AF11" s="99">
        <f t="shared" ref="AF11:AF49" si="10">((AE11/SUM(($AC$10:$AD$10))*50+50)*0.25)</f>
        <v>12.5</v>
      </c>
      <c r="AG11" s="111">
        <f t="shared" ref="AG11:AG49" si="11">AB11+AF11</f>
        <v>20</v>
      </c>
      <c r="AI11" s="45">
        <f t="shared" ref="AI11:AI49" si="12">X11+AG11</f>
        <v>50</v>
      </c>
      <c r="AJ11" s="94" t="str">
        <f>IF(AI11&lt;74.5,"FAILED","PASSED")</f>
        <v>FAILED</v>
      </c>
    </row>
    <row r="12" spans="1:38" ht="15.75" thickBot="1" x14ac:dyDescent="0.3">
      <c r="A12" s="5">
        <v>2</v>
      </c>
      <c r="B12" s="122" t="str">
        <f>Attendance!B12</f>
        <v>ATONDUCAN. VINCE ASHLEY PAREÑAS</v>
      </c>
      <c r="C12" s="190">
        <f>Attendance!X11</f>
        <v>0</v>
      </c>
      <c r="D12" s="191"/>
      <c r="E12" s="192"/>
      <c r="F12" s="130"/>
      <c r="G12" s="128"/>
      <c r="H12" s="55"/>
      <c r="I12" s="127"/>
      <c r="J12" s="124"/>
      <c r="K12" s="50"/>
      <c r="L12" s="85"/>
      <c r="M12" s="90">
        <f t="shared" si="0"/>
        <v>0</v>
      </c>
      <c r="N12" s="88">
        <f t="shared" si="1"/>
        <v>50</v>
      </c>
      <c r="O12" s="83">
        <f t="shared" si="2"/>
        <v>12.5</v>
      </c>
      <c r="P12" s="66"/>
      <c r="Q12" s="55"/>
      <c r="R12" s="55"/>
      <c r="S12" s="56"/>
      <c r="T12" s="56"/>
      <c r="U12" s="95">
        <f t="shared" si="3"/>
        <v>0</v>
      </c>
      <c r="V12" s="101">
        <f t="shared" si="4"/>
        <v>50</v>
      </c>
      <c r="W12" s="102">
        <f t="shared" si="5"/>
        <v>17.5</v>
      </c>
      <c r="X12" s="103">
        <f t="shared" si="6"/>
        <v>30</v>
      </c>
      <c r="Y12" s="66"/>
      <c r="Z12" s="105"/>
      <c r="AA12" s="108">
        <f t="shared" si="7"/>
        <v>0</v>
      </c>
      <c r="AB12" s="109">
        <f t="shared" si="8"/>
        <v>7.5</v>
      </c>
      <c r="AC12" s="107"/>
      <c r="AD12" s="81"/>
      <c r="AE12" s="110">
        <f t="shared" si="9"/>
        <v>0</v>
      </c>
      <c r="AF12" s="99">
        <f t="shared" si="10"/>
        <v>12.5</v>
      </c>
      <c r="AG12" s="111">
        <f t="shared" si="11"/>
        <v>20</v>
      </c>
      <c r="AI12" s="45">
        <f t="shared" si="12"/>
        <v>50</v>
      </c>
      <c r="AJ12" s="94" t="str">
        <f t="shared" ref="AJ12:AJ49" si="13">IF(AI12&lt;74.5,"FAILED","PASSED")</f>
        <v>FAILED</v>
      </c>
    </row>
    <row r="13" spans="1:38" ht="15.75" thickBot="1" x14ac:dyDescent="0.3">
      <c r="A13" s="10">
        <v>3</v>
      </c>
      <c r="B13" s="122" t="str">
        <f>Attendance!B13</f>
        <v>BLANCO. KLYDE JANDY SAYNES</v>
      </c>
      <c r="C13" s="190">
        <f>Attendance!X12</f>
        <v>0</v>
      </c>
      <c r="D13" s="191"/>
      <c r="E13" s="192"/>
      <c r="F13" s="130"/>
      <c r="G13" s="128"/>
      <c r="H13" s="55"/>
      <c r="I13" s="127"/>
      <c r="J13" s="124"/>
      <c r="K13" s="50"/>
      <c r="L13" s="85"/>
      <c r="M13" s="90">
        <f t="shared" si="0"/>
        <v>0</v>
      </c>
      <c r="N13" s="88">
        <f t="shared" si="1"/>
        <v>50</v>
      </c>
      <c r="O13" s="83">
        <f t="shared" si="2"/>
        <v>12.5</v>
      </c>
      <c r="P13" s="66"/>
      <c r="Q13" s="55"/>
      <c r="R13" s="55"/>
      <c r="S13" s="56"/>
      <c r="T13" s="56"/>
      <c r="U13" s="95">
        <f t="shared" si="3"/>
        <v>0</v>
      </c>
      <c r="V13" s="101">
        <f t="shared" si="4"/>
        <v>50</v>
      </c>
      <c r="W13" s="102">
        <f t="shared" si="5"/>
        <v>17.5</v>
      </c>
      <c r="X13" s="103">
        <f t="shared" si="6"/>
        <v>30</v>
      </c>
      <c r="Y13" s="66"/>
      <c r="Z13" s="105"/>
      <c r="AA13" s="108">
        <f t="shared" si="7"/>
        <v>0</v>
      </c>
      <c r="AB13" s="109">
        <f t="shared" si="8"/>
        <v>7.5</v>
      </c>
      <c r="AC13" s="107"/>
      <c r="AD13" s="81"/>
      <c r="AE13" s="110">
        <f t="shared" si="9"/>
        <v>0</v>
      </c>
      <c r="AF13" s="99">
        <f t="shared" si="10"/>
        <v>12.5</v>
      </c>
      <c r="AG13" s="111">
        <f t="shared" si="11"/>
        <v>20</v>
      </c>
      <c r="AI13" s="45">
        <f t="shared" si="12"/>
        <v>50</v>
      </c>
      <c r="AJ13" s="94" t="str">
        <f t="shared" si="13"/>
        <v>FAILED</v>
      </c>
    </row>
    <row r="14" spans="1:38" ht="15.75" thickBot="1" x14ac:dyDescent="0.3">
      <c r="A14" s="5">
        <v>4</v>
      </c>
      <c r="B14" s="122" t="str">
        <f>Attendance!B14</f>
        <v>BORROMEO. HARVEY KENT DUMALAG</v>
      </c>
      <c r="C14" s="190">
        <f>Attendance!X13</f>
        <v>0</v>
      </c>
      <c r="D14" s="191"/>
      <c r="E14" s="192"/>
      <c r="F14" s="130"/>
      <c r="G14" s="128"/>
      <c r="H14" s="55"/>
      <c r="I14" s="127"/>
      <c r="J14" s="124"/>
      <c r="K14" s="50"/>
      <c r="L14" s="85"/>
      <c r="M14" s="90">
        <f t="shared" si="0"/>
        <v>0</v>
      </c>
      <c r="N14" s="88">
        <f t="shared" si="1"/>
        <v>50</v>
      </c>
      <c r="O14" s="83">
        <f t="shared" si="2"/>
        <v>12.5</v>
      </c>
      <c r="P14" s="66"/>
      <c r="Q14" s="55"/>
      <c r="R14" s="55"/>
      <c r="S14" s="56"/>
      <c r="T14" s="56"/>
      <c r="U14" s="95">
        <f t="shared" si="3"/>
        <v>0</v>
      </c>
      <c r="V14" s="101">
        <f t="shared" si="4"/>
        <v>50</v>
      </c>
      <c r="W14" s="102">
        <f t="shared" si="5"/>
        <v>17.5</v>
      </c>
      <c r="X14" s="103">
        <f t="shared" si="6"/>
        <v>30</v>
      </c>
      <c r="Y14" s="66"/>
      <c r="Z14" s="105"/>
      <c r="AA14" s="108">
        <f t="shared" si="7"/>
        <v>0</v>
      </c>
      <c r="AB14" s="109">
        <f t="shared" si="8"/>
        <v>7.5</v>
      </c>
      <c r="AC14" s="107"/>
      <c r="AD14" s="81"/>
      <c r="AE14" s="110">
        <f t="shared" si="9"/>
        <v>0</v>
      </c>
      <c r="AF14" s="99">
        <f t="shared" si="10"/>
        <v>12.5</v>
      </c>
      <c r="AG14" s="111">
        <f t="shared" si="11"/>
        <v>20</v>
      </c>
      <c r="AI14" s="45">
        <f t="shared" si="12"/>
        <v>50</v>
      </c>
      <c r="AJ14" s="94" t="str">
        <f t="shared" si="13"/>
        <v>FAILED</v>
      </c>
    </row>
    <row r="15" spans="1:38" ht="15.75" thickBot="1" x14ac:dyDescent="0.3">
      <c r="A15" s="10">
        <v>5</v>
      </c>
      <c r="B15" s="122" t="str">
        <f>Attendance!B15</f>
        <v>CABAYA. SOPHIA LOREN JURILLA</v>
      </c>
      <c r="C15" s="190">
        <f>Attendance!X14</f>
        <v>0</v>
      </c>
      <c r="D15" s="191"/>
      <c r="E15" s="192"/>
      <c r="F15" s="130"/>
      <c r="G15" s="128"/>
      <c r="H15" s="55"/>
      <c r="I15" s="127"/>
      <c r="J15" s="124"/>
      <c r="K15" s="50"/>
      <c r="L15" s="85"/>
      <c r="M15" s="90">
        <f t="shared" si="0"/>
        <v>0</v>
      </c>
      <c r="N15" s="88">
        <f t="shared" si="1"/>
        <v>50</v>
      </c>
      <c r="O15" s="83">
        <f t="shared" si="2"/>
        <v>12.5</v>
      </c>
      <c r="P15" s="66"/>
      <c r="Q15" s="55"/>
      <c r="R15" s="55"/>
      <c r="S15" s="57"/>
      <c r="T15" s="56"/>
      <c r="U15" s="95">
        <f t="shared" si="3"/>
        <v>0</v>
      </c>
      <c r="V15" s="101">
        <f t="shared" si="4"/>
        <v>50</v>
      </c>
      <c r="W15" s="102">
        <f t="shared" si="5"/>
        <v>17.5</v>
      </c>
      <c r="X15" s="103">
        <f t="shared" si="6"/>
        <v>30</v>
      </c>
      <c r="Y15" s="66"/>
      <c r="Z15" s="105"/>
      <c r="AA15" s="108">
        <f t="shared" si="7"/>
        <v>0</v>
      </c>
      <c r="AB15" s="109">
        <f t="shared" si="8"/>
        <v>7.5</v>
      </c>
      <c r="AC15" s="107"/>
      <c r="AD15" s="81"/>
      <c r="AE15" s="110">
        <f t="shared" si="9"/>
        <v>0</v>
      </c>
      <c r="AF15" s="99">
        <f t="shared" si="10"/>
        <v>12.5</v>
      </c>
      <c r="AG15" s="111">
        <f t="shared" si="11"/>
        <v>20</v>
      </c>
      <c r="AI15" s="45">
        <f t="shared" si="12"/>
        <v>50</v>
      </c>
      <c r="AJ15" s="94" t="str">
        <f t="shared" si="13"/>
        <v>FAILED</v>
      </c>
    </row>
    <row r="16" spans="1:38" ht="15.75" thickBot="1" x14ac:dyDescent="0.3">
      <c r="A16" s="5">
        <v>6</v>
      </c>
      <c r="B16" s="122" t="str">
        <f>Attendance!B16</f>
        <v>CASIDA. KIESHA LOU RODRIGUEZ</v>
      </c>
      <c r="C16" s="190">
        <f>Attendance!X15</f>
        <v>0</v>
      </c>
      <c r="D16" s="191"/>
      <c r="E16" s="192"/>
      <c r="F16" s="130"/>
      <c r="G16" s="128"/>
      <c r="H16" s="55"/>
      <c r="I16" s="127"/>
      <c r="J16" s="124"/>
      <c r="K16" s="50"/>
      <c r="L16" s="85"/>
      <c r="M16" s="90">
        <f t="shared" si="0"/>
        <v>0</v>
      </c>
      <c r="N16" s="88">
        <f t="shared" si="1"/>
        <v>50</v>
      </c>
      <c r="O16" s="83">
        <f t="shared" si="2"/>
        <v>12.5</v>
      </c>
      <c r="P16" s="66"/>
      <c r="Q16" s="55"/>
      <c r="R16" s="55"/>
      <c r="S16" s="57"/>
      <c r="T16" s="56"/>
      <c r="U16" s="95">
        <f t="shared" si="3"/>
        <v>0</v>
      </c>
      <c r="V16" s="101">
        <f t="shared" si="4"/>
        <v>50</v>
      </c>
      <c r="W16" s="102">
        <f t="shared" si="5"/>
        <v>17.5</v>
      </c>
      <c r="X16" s="103">
        <f t="shared" si="6"/>
        <v>30</v>
      </c>
      <c r="Y16" s="66"/>
      <c r="Z16" s="105"/>
      <c r="AA16" s="108">
        <f t="shared" si="7"/>
        <v>0</v>
      </c>
      <c r="AB16" s="109">
        <f t="shared" si="8"/>
        <v>7.5</v>
      </c>
      <c r="AC16" s="107"/>
      <c r="AD16" s="81"/>
      <c r="AE16" s="110">
        <f t="shared" si="9"/>
        <v>0</v>
      </c>
      <c r="AF16" s="99">
        <f t="shared" si="10"/>
        <v>12.5</v>
      </c>
      <c r="AG16" s="111">
        <f t="shared" si="11"/>
        <v>20</v>
      </c>
      <c r="AI16" s="45">
        <f t="shared" si="12"/>
        <v>50</v>
      </c>
      <c r="AJ16" s="94" t="str">
        <f t="shared" si="13"/>
        <v>FAILED</v>
      </c>
    </row>
    <row r="17" spans="1:36" ht="15.75" thickBot="1" x14ac:dyDescent="0.3">
      <c r="A17" s="10">
        <v>7</v>
      </c>
      <c r="B17" s="122" t="str">
        <f>Attendance!B17</f>
        <v>CUARESMA. LOUR DESIREE BAQUERO</v>
      </c>
      <c r="C17" s="190">
        <f>Attendance!X16</f>
        <v>0</v>
      </c>
      <c r="D17" s="191"/>
      <c r="E17" s="192"/>
      <c r="F17" s="130"/>
      <c r="G17" s="128"/>
      <c r="H17" s="55"/>
      <c r="I17" s="127"/>
      <c r="J17" s="124"/>
      <c r="K17" s="50"/>
      <c r="L17" s="85"/>
      <c r="M17" s="90">
        <f t="shared" si="0"/>
        <v>0</v>
      </c>
      <c r="N17" s="88">
        <f t="shared" si="1"/>
        <v>50</v>
      </c>
      <c r="O17" s="83">
        <f t="shared" si="2"/>
        <v>12.5</v>
      </c>
      <c r="P17" s="66"/>
      <c r="Q17" s="55"/>
      <c r="R17" s="55"/>
      <c r="S17" s="57"/>
      <c r="T17" s="56"/>
      <c r="U17" s="95">
        <f t="shared" si="3"/>
        <v>0</v>
      </c>
      <c r="V17" s="101">
        <f t="shared" si="4"/>
        <v>50</v>
      </c>
      <c r="W17" s="102">
        <f t="shared" si="5"/>
        <v>17.5</v>
      </c>
      <c r="X17" s="103">
        <f t="shared" si="6"/>
        <v>30</v>
      </c>
      <c r="Y17" s="66"/>
      <c r="Z17" s="105"/>
      <c r="AA17" s="108">
        <f t="shared" si="7"/>
        <v>0</v>
      </c>
      <c r="AB17" s="109">
        <f t="shared" si="8"/>
        <v>7.5</v>
      </c>
      <c r="AC17" s="107"/>
      <c r="AD17" s="81"/>
      <c r="AE17" s="110">
        <f t="shared" si="9"/>
        <v>0</v>
      </c>
      <c r="AF17" s="99">
        <f t="shared" si="10"/>
        <v>12.5</v>
      </c>
      <c r="AG17" s="111">
        <f t="shared" si="11"/>
        <v>20</v>
      </c>
      <c r="AI17" s="45">
        <f t="shared" si="12"/>
        <v>50</v>
      </c>
      <c r="AJ17" s="94" t="str">
        <f t="shared" si="13"/>
        <v>FAILED</v>
      </c>
    </row>
    <row r="18" spans="1:36" ht="15.75" thickBot="1" x14ac:dyDescent="0.3">
      <c r="A18" s="5">
        <v>8</v>
      </c>
      <c r="B18" s="122" t="str">
        <f>Attendance!B18</f>
        <v>DETOPEREZ. KNYTZ PANIZALES</v>
      </c>
      <c r="C18" s="190">
        <f>Attendance!X17</f>
        <v>0</v>
      </c>
      <c r="D18" s="191"/>
      <c r="E18" s="192"/>
      <c r="F18" s="130"/>
      <c r="G18" s="128"/>
      <c r="H18" s="55"/>
      <c r="I18" s="127"/>
      <c r="J18" s="124"/>
      <c r="K18" s="50"/>
      <c r="L18" s="85"/>
      <c r="M18" s="90">
        <f t="shared" si="0"/>
        <v>0</v>
      </c>
      <c r="N18" s="88">
        <f t="shared" si="1"/>
        <v>50</v>
      </c>
      <c r="O18" s="83">
        <f t="shared" si="2"/>
        <v>12.5</v>
      </c>
      <c r="P18" s="66"/>
      <c r="Q18" s="55"/>
      <c r="R18" s="55"/>
      <c r="S18" s="57"/>
      <c r="T18" s="56"/>
      <c r="U18" s="95">
        <f t="shared" si="3"/>
        <v>0</v>
      </c>
      <c r="V18" s="101">
        <f t="shared" si="4"/>
        <v>50</v>
      </c>
      <c r="W18" s="102">
        <f t="shared" si="5"/>
        <v>17.5</v>
      </c>
      <c r="X18" s="103">
        <f t="shared" si="6"/>
        <v>30</v>
      </c>
      <c r="Y18" s="66"/>
      <c r="Z18" s="105"/>
      <c r="AA18" s="108">
        <f t="shared" si="7"/>
        <v>0</v>
      </c>
      <c r="AB18" s="109">
        <f t="shared" si="8"/>
        <v>7.5</v>
      </c>
      <c r="AC18" s="107"/>
      <c r="AD18" s="81"/>
      <c r="AE18" s="110">
        <f t="shared" si="9"/>
        <v>0</v>
      </c>
      <c r="AF18" s="99">
        <f t="shared" si="10"/>
        <v>12.5</v>
      </c>
      <c r="AG18" s="111">
        <f t="shared" si="11"/>
        <v>20</v>
      </c>
      <c r="AI18" s="45">
        <f t="shared" si="12"/>
        <v>50</v>
      </c>
      <c r="AJ18" s="94" t="str">
        <f t="shared" si="13"/>
        <v>FAILED</v>
      </c>
    </row>
    <row r="19" spans="1:36" ht="15.75" thickBot="1" x14ac:dyDescent="0.3">
      <c r="A19" s="10">
        <v>9</v>
      </c>
      <c r="B19" s="122" t="str">
        <f>Attendance!B19</f>
        <v>DOMINGO. ARSENIO JR. DIOLESTE</v>
      </c>
      <c r="C19" s="190">
        <f>Attendance!X18</f>
        <v>0</v>
      </c>
      <c r="D19" s="191"/>
      <c r="E19" s="192"/>
      <c r="F19" s="130"/>
      <c r="G19" s="128"/>
      <c r="H19" s="55"/>
      <c r="I19" s="127"/>
      <c r="J19" s="124"/>
      <c r="K19" s="50"/>
      <c r="L19" s="85"/>
      <c r="M19" s="90">
        <f t="shared" si="0"/>
        <v>0</v>
      </c>
      <c r="N19" s="88">
        <f t="shared" si="1"/>
        <v>50</v>
      </c>
      <c r="O19" s="83">
        <f t="shared" si="2"/>
        <v>12.5</v>
      </c>
      <c r="P19" s="66"/>
      <c r="Q19" s="55"/>
      <c r="R19" s="55"/>
      <c r="S19" s="57"/>
      <c r="T19" s="56"/>
      <c r="U19" s="95">
        <f t="shared" si="3"/>
        <v>0</v>
      </c>
      <c r="V19" s="101">
        <f t="shared" si="4"/>
        <v>50</v>
      </c>
      <c r="W19" s="102">
        <f t="shared" si="5"/>
        <v>17.5</v>
      </c>
      <c r="X19" s="103">
        <f t="shared" si="6"/>
        <v>30</v>
      </c>
      <c r="Y19" s="66"/>
      <c r="Z19" s="105"/>
      <c r="AA19" s="108">
        <f t="shared" si="7"/>
        <v>0</v>
      </c>
      <c r="AB19" s="109">
        <f t="shared" si="8"/>
        <v>7.5</v>
      </c>
      <c r="AC19" s="107"/>
      <c r="AD19" s="81"/>
      <c r="AE19" s="110">
        <f t="shared" si="9"/>
        <v>0</v>
      </c>
      <c r="AF19" s="99">
        <f t="shared" si="10"/>
        <v>12.5</v>
      </c>
      <c r="AG19" s="111">
        <f t="shared" si="11"/>
        <v>20</v>
      </c>
      <c r="AI19" s="45">
        <f t="shared" si="12"/>
        <v>50</v>
      </c>
      <c r="AJ19" s="94" t="str">
        <f t="shared" si="13"/>
        <v>FAILED</v>
      </c>
    </row>
    <row r="20" spans="1:36" ht="15.75" thickBot="1" x14ac:dyDescent="0.3">
      <c r="A20" s="5">
        <v>10</v>
      </c>
      <c r="B20" s="122" t="str">
        <f>Attendance!B20</f>
        <v>ESCANDA. ETHAN GABRIEL BERNALDEZ</v>
      </c>
      <c r="C20" s="190">
        <f>Attendance!X19</f>
        <v>0</v>
      </c>
      <c r="D20" s="191"/>
      <c r="E20" s="192"/>
      <c r="F20" s="130"/>
      <c r="G20" s="128"/>
      <c r="H20" s="55"/>
      <c r="I20" s="127"/>
      <c r="J20" s="124"/>
      <c r="K20" s="50"/>
      <c r="L20" s="85"/>
      <c r="M20" s="90">
        <f t="shared" si="0"/>
        <v>0</v>
      </c>
      <c r="N20" s="88">
        <f t="shared" si="1"/>
        <v>50</v>
      </c>
      <c r="O20" s="83">
        <f t="shared" si="2"/>
        <v>12.5</v>
      </c>
      <c r="P20" s="66"/>
      <c r="Q20" s="55"/>
      <c r="R20" s="55"/>
      <c r="S20" s="57"/>
      <c r="T20" s="56"/>
      <c r="U20" s="95">
        <f t="shared" si="3"/>
        <v>0</v>
      </c>
      <c r="V20" s="101">
        <f t="shared" si="4"/>
        <v>50</v>
      </c>
      <c r="W20" s="102">
        <f t="shared" si="5"/>
        <v>17.5</v>
      </c>
      <c r="X20" s="103">
        <f t="shared" si="6"/>
        <v>30</v>
      </c>
      <c r="Y20" s="66"/>
      <c r="Z20" s="105"/>
      <c r="AA20" s="108">
        <f t="shared" si="7"/>
        <v>0</v>
      </c>
      <c r="AB20" s="109">
        <f t="shared" si="8"/>
        <v>7.5</v>
      </c>
      <c r="AC20" s="107"/>
      <c r="AD20" s="81"/>
      <c r="AE20" s="110">
        <f t="shared" si="9"/>
        <v>0</v>
      </c>
      <c r="AF20" s="99">
        <f t="shared" si="10"/>
        <v>12.5</v>
      </c>
      <c r="AG20" s="111">
        <f t="shared" si="11"/>
        <v>20</v>
      </c>
      <c r="AI20" s="45">
        <f t="shared" si="12"/>
        <v>50</v>
      </c>
      <c r="AJ20" s="94" t="str">
        <f t="shared" si="13"/>
        <v>FAILED</v>
      </c>
    </row>
    <row r="21" spans="1:36" ht="15.75" thickBot="1" x14ac:dyDescent="0.3">
      <c r="A21" s="10">
        <v>11</v>
      </c>
      <c r="B21" s="122" t="str">
        <f>Attendance!B21</f>
        <v>GENTERONE. LYCCA MAY PODADOR</v>
      </c>
      <c r="C21" s="190">
        <f>Attendance!X20</f>
        <v>0</v>
      </c>
      <c r="D21" s="191"/>
      <c r="E21" s="192"/>
      <c r="F21" s="130"/>
      <c r="G21" s="128"/>
      <c r="H21" s="55"/>
      <c r="I21" s="127"/>
      <c r="J21" s="124"/>
      <c r="K21" s="50"/>
      <c r="L21" s="85"/>
      <c r="M21" s="90">
        <f t="shared" si="0"/>
        <v>0</v>
      </c>
      <c r="N21" s="88">
        <f t="shared" si="1"/>
        <v>50</v>
      </c>
      <c r="O21" s="83">
        <f t="shared" si="2"/>
        <v>12.5</v>
      </c>
      <c r="P21" s="66"/>
      <c r="Q21" s="55"/>
      <c r="R21" s="55"/>
      <c r="S21" s="57"/>
      <c r="T21" s="56"/>
      <c r="U21" s="95">
        <f t="shared" si="3"/>
        <v>0</v>
      </c>
      <c r="V21" s="101">
        <f t="shared" si="4"/>
        <v>50</v>
      </c>
      <c r="W21" s="102">
        <f t="shared" si="5"/>
        <v>17.5</v>
      </c>
      <c r="X21" s="103">
        <f t="shared" si="6"/>
        <v>30</v>
      </c>
      <c r="Y21" s="66"/>
      <c r="Z21" s="105"/>
      <c r="AA21" s="108">
        <f t="shared" si="7"/>
        <v>0</v>
      </c>
      <c r="AB21" s="109">
        <f t="shared" si="8"/>
        <v>7.5</v>
      </c>
      <c r="AC21" s="107"/>
      <c r="AD21" s="81"/>
      <c r="AE21" s="110">
        <f t="shared" si="9"/>
        <v>0</v>
      </c>
      <c r="AF21" s="99">
        <f t="shared" si="10"/>
        <v>12.5</v>
      </c>
      <c r="AG21" s="111">
        <f t="shared" si="11"/>
        <v>20</v>
      </c>
      <c r="AI21" s="45">
        <f t="shared" si="12"/>
        <v>50</v>
      </c>
      <c r="AJ21" s="94" t="str">
        <f t="shared" si="13"/>
        <v>FAILED</v>
      </c>
    </row>
    <row r="22" spans="1:36" ht="15.75" thickBot="1" x14ac:dyDescent="0.3">
      <c r="A22" s="5">
        <v>12</v>
      </c>
      <c r="B22" s="122" t="str">
        <f>Attendance!B22</f>
        <v>HITONES. APPLE ANDREA SU-AY</v>
      </c>
      <c r="C22" s="190">
        <f>Attendance!X21</f>
        <v>0</v>
      </c>
      <c r="D22" s="191"/>
      <c r="E22" s="192"/>
      <c r="F22" s="130"/>
      <c r="G22" s="128"/>
      <c r="H22" s="55"/>
      <c r="I22" s="127"/>
      <c r="J22" s="124"/>
      <c r="K22" s="50"/>
      <c r="L22" s="85"/>
      <c r="M22" s="90">
        <f t="shared" si="0"/>
        <v>0</v>
      </c>
      <c r="N22" s="88">
        <f t="shared" si="1"/>
        <v>50</v>
      </c>
      <c r="O22" s="83">
        <f t="shared" si="2"/>
        <v>12.5</v>
      </c>
      <c r="P22" s="66"/>
      <c r="Q22" s="55"/>
      <c r="R22" s="55"/>
      <c r="S22" s="57"/>
      <c r="T22" s="56"/>
      <c r="U22" s="95">
        <f t="shared" si="3"/>
        <v>0</v>
      </c>
      <c r="V22" s="101">
        <f t="shared" si="4"/>
        <v>50</v>
      </c>
      <c r="W22" s="102">
        <f t="shared" si="5"/>
        <v>17.5</v>
      </c>
      <c r="X22" s="103">
        <f t="shared" si="6"/>
        <v>30</v>
      </c>
      <c r="Y22" s="66"/>
      <c r="Z22" s="105"/>
      <c r="AA22" s="108">
        <f t="shared" si="7"/>
        <v>0</v>
      </c>
      <c r="AB22" s="109">
        <f t="shared" si="8"/>
        <v>7.5</v>
      </c>
      <c r="AC22" s="107"/>
      <c r="AD22" s="81"/>
      <c r="AE22" s="110">
        <f t="shared" si="9"/>
        <v>0</v>
      </c>
      <c r="AF22" s="99">
        <f t="shared" si="10"/>
        <v>12.5</v>
      </c>
      <c r="AG22" s="111">
        <f t="shared" si="11"/>
        <v>20</v>
      </c>
      <c r="AI22" s="45">
        <f t="shared" si="12"/>
        <v>50</v>
      </c>
      <c r="AJ22" s="94" t="str">
        <f t="shared" si="13"/>
        <v>FAILED</v>
      </c>
    </row>
    <row r="23" spans="1:36" ht="15.75" thickBot="1" x14ac:dyDescent="0.3">
      <c r="A23" s="10">
        <v>13</v>
      </c>
      <c r="B23" s="122" t="str">
        <f>Attendance!B23</f>
        <v>ILISAN. JOHN PAUL PAGDATO</v>
      </c>
      <c r="C23" s="190">
        <f>Attendance!X22</f>
        <v>0</v>
      </c>
      <c r="D23" s="191"/>
      <c r="E23" s="192"/>
      <c r="F23" s="130"/>
      <c r="G23" s="128"/>
      <c r="H23" s="55"/>
      <c r="I23" s="127"/>
      <c r="J23" s="124"/>
      <c r="K23" s="50"/>
      <c r="L23" s="85"/>
      <c r="M23" s="90">
        <f t="shared" si="0"/>
        <v>0</v>
      </c>
      <c r="N23" s="88">
        <f t="shared" si="1"/>
        <v>50</v>
      </c>
      <c r="O23" s="83">
        <f t="shared" si="2"/>
        <v>12.5</v>
      </c>
      <c r="P23" s="66"/>
      <c r="Q23" s="55"/>
      <c r="R23" s="55"/>
      <c r="S23" s="57"/>
      <c r="T23" s="56"/>
      <c r="U23" s="95">
        <f t="shared" si="3"/>
        <v>0</v>
      </c>
      <c r="V23" s="101">
        <f t="shared" si="4"/>
        <v>50</v>
      </c>
      <c r="W23" s="102">
        <f t="shared" si="5"/>
        <v>17.5</v>
      </c>
      <c r="X23" s="103">
        <f t="shared" si="6"/>
        <v>30</v>
      </c>
      <c r="Y23" s="66"/>
      <c r="Z23" s="105"/>
      <c r="AA23" s="108">
        <f t="shared" si="7"/>
        <v>0</v>
      </c>
      <c r="AB23" s="109">
        <f t="shared" si="8"/>
        <v>7.5</v>
      </c>
      <c r="AC23" s="107"/>
      <c r="AD23" s="81"/>
      <c r="AE23" s="110">
        <f t="shared" si="9"/>
        <v>0</v>
      </c>
      <c r="AF23" s="99">
        <f t="shared" si="10"/>
        <v>12.5</v>
      </c>
      <c r="AG23" s="111">
        <f t="shared" si="11"/>
        <v>20</v>
      </c>
      <c r="AI23" s="45">
        <f t="shared" si="12"/>
        <v>50</v>
      </c>
      <c r="AJ23" s="94" t="str">
        <f t="shared" si="13"/>
        <v>FAILED</v>
      </c>
    </row>
    <row r="24" spans="1:36" ht="15.75" thickBot="1" x14ac:dyDescent="0.3">
      <c r="A24" s="5">
        <v>14</v>
      </c>
      <c r="B24" s="122" t="str">
        <f>Attendance!B24</f>
        <v>JABAN. GABRIEL JAY JORNADAL</v>
      </c>
      <c r="C24" s="190">
        <f>Attendance!X23</f>
        <v>0</v>
      </c>
      <c r="D24" s="191"/>
      <c r="E24" s="192"/>
      <c r="F24" s="130"/>
      <c r="G24" s="128"/>
      <c r="H24" s="55"/>
      <c r="I24" s="127"/>
      <c r="J24" s="124"/>
      <c r="K24" s="50"/>
      <c r="L24" s="85"/>
      <c r="M24" s="90">
        <f t="shared" si="0"/>
        <v>0</v>
      </c>
      <c r="N24" s="88">
        <f t="shared" si="1"/>
        <v>50</v>
      </c>
      <c r="O24" s="83">
        <f t="shared" si="2"/>
        <v>12.5</v>
      </c>
      <c r="P24" s="66"/>
      <c r="Q24" s="55"/>
      <c r="R24" s="55"/>
      <c r="S24" s="57"/>
      <c r="T24" s="56"/>
      <c r="U24" s="95">
        <f t="shared" si="3"/>
        <v>0</v>
      </c>
      <c r="V24" s="101">
        <f t="shared" si="4"/>
        <v>50</v>
      </c>
      <c r="W24" s="102">
        <f t="shared" si="5"/>
        <v>17.5</v>
      </c>
      <c r="X24" s="103">
        <f t="shared" si="6"/>
        <v>30</v>
      </c>
      <c r="Y24" s="66"/>
      <c r="Z24" s="105"/>
      <c r="AA24" s="108">
        <f t="shared" si="7"/>
        <v>0</v>
      </c>
      <c r="AB24" s="109">
        <f t="shared" si="8"/>
        <v>7.5</v>
      </c>
      <c r="AC24" s="107"/>
      <c r="AD24" s="81"/>
      <c r="AE24" s="110">
        <f t="shared" si="9"/>
        <v>0</v>
      </c>
      <c r="AF24" s="99">
        <f t="shared" si="10"/>
        <v>12.5</v>
      </c>
      <c r="AG24" s="111">
        <f t="shared" si="11"/>
        <v>20</v>
      </c>
      <c r="AI24" s="45">
        <f t="shared" si="12"/>
        <v>50</v>
      </c>
      <c r="AJ24" s="94" t="str">
        <f t="shared" si="13"/>
        <v>FAILED</v>
      </c>
    </row>
    <row r="25" spans="1:36" ht="15.75" thickBot="1" x14ac:dyDescent="0.3">
      <c r="A25" s="10">
        <v>15</v>
      </c>
      <c r="B25" s="122" t="str">
        <f>Attendance!B25</f>
        <v>JACULINA. KRIZEL JOY AMULAR</v>
      </c>
      <c r="C25" s="190">
        <f>Attendance!X24</f>
        <v>0</v>
      </c>
      <c r="D25" s="191"/>
      <c r="E25" s="192"/>
      <c r="F25" s="130"/>
      <c r="G25" s="128"/>
      <c r="H25" s="55"/>
      <c r="I25" s="127"/>
      <c r="J25" s="124"/>
      <c r="K25" s="50"/>
      <c r="L25" s="85"/>
      <c r="M25" s="90">
        <f t="shared" si="0"/>
        <v>0</v>
      </c>
      <c r="N25" s="88">
        <f t="shared" si="1"/>
        <v>50</v>
      </c>
      <c r="O25" s="83">
        <f t="shared" si="2"/>
        <v>12.5</v>
      </c>
      <c r="P25" s="66"/>
      <c r="Q25" s="55"/>
      <c r="R25" s="55"/>
      <c r="S25" s="57"/>
      <c r="T25" s="56"/>
      <c r="U25" s="95">
        <f t="shared" si="3"/>
        <v>0</v>
      </c>
      <c r="V25" s="101">
        <f t="shared" si="4"/>
        <v>50</v>
      </c>
      <c r="W25" s="102">
        <f t="shared" si="5"/>
        <v>17.5</v>
      </c>
      <c r="X25" s="103">
        <f t="shared" si="6"/>
        <v>30</v>
      </c>
      <c r="Y25" s="66"/>
      <c r="Z25" s="105"/>
      <c r="AA25" s="108">
        <f t="shared" si="7"/>
        <v>0</v>
      </c>
      <c r="AB25" s="109">
        <f t="shared" si="8"/>
        <v>7.5</v>
      </c>
      <c r="AC25" s="107"/>
      <c r="AD25" s="81"/>
      <c r="AE25" s="110">
        <f t="shared" si="9"/>
        <v>0</v>
      </c>
      <c r="AF25" s="99">
        <f t="shared" si="10"/>
        <v>12.5</v>
      </c>
      <c r="AG25" s="111">
        <f t="shared" si="11"/>
        <v>20</v>
      </c>
      <c r="AI25" s="45">
        <f t="shared" si="12"/>
        <v>50</v>
      </c>
      <c r="AJ25" s="94" t="str">
        <f t="shared" si="13"/>
        <v>FAILED</v>
      </c>
    </row>
    <row r="26" spans="1:36" ht="15.75" thickBot="1" x14ac:dyDescent="0.3">
      <c r="A26" s="5">
        <v>16</v>
      </c>
      <c r="B26" s="122" t="str">
        <f>Attendance!B26</f>
        <v>LANGOTE. JAMELA FAYE SORBITO</v>
      </c>
      <c r="C26" s="190">
        <f>Attendance!X25</f>
        <v>0</v>
      </c>
      <c r="D26" s="191"/>
      <c r="E26" s="192"/>
      <c r="F26" s="130"/>
      <c r="G26" s="128"/>
      <c r="H26" s="55"/>
      <c r="I26" s="127"/>
      <c r="J26" s="124"/>
      <c r="K26" s="50"/>
      <c r="L26" s="85"/>
      <c r="M26" s="90">
        <f t="shared" si="0"/>
        <v>0</v>
      </c>
      <c r="N26" s="88">
        <f t="shared" si="1"/>
        <v>50</v>
      </c>
      <c r="O26" s="83">
        <f t="shared" si="2"/>
        <v>12.5</v>
      </c>
      <c r="P26" s="66"/>
      <c r="Q26" s="55"/>
      <c r="R26" s="55"/>
      <c r="S26" s="57"/>
      <c r="T26" s="56"/>
      <c r="U26" s="95">
        <f t="shared" si="3"/>
        <v>0</v>
      </c>
      <c r="V26" s="101">
        <f t="shared" si="4"/>
        <v>50</v>
      </c>
      <c r="W26" s="102">
        <f t="shared" si="5"/>
        <v>17.5</v>
      </c>
      <c r="X26" s="103">
        <f t="shared" si="6"/>
        <v>30</v>
      </c>
      <c r="Y26" s="66"/>
      <c r="Z26" s="105"/>
      <c r="AA26" s="108">
        <f t="shared" si="7"/>
        <v>0</v>
      </c>
      <c r="AB26" s="109">
        <f t="shared" si="8"/>
        <v>7.5</v>
      </c>
      <c r="AC26" s="107"/>
      <c r="AD26" s="81"/>
      <c r="AE26" s="110">
        <f t="shared" si="9"/>
        <v>0</v>
      </c>
      <c r="AF26" s="99">
        <f t="shared" si="10"/>
        <v>12.5</v>
      </c>
      <c r="AG26" s="111">
        <f t="shared" si="11"/>
        <v>20</v>
      </c>
      <c r="AI26" s="45">
        <f t="shared" si="12"/>
        <v>50</v>
      </c>
      <c r="AJ26" s="94" t="str">
        <f t="shared" si="13"/>
        <v>FAILED</v>
      </c>
    </row>
    <row r="27" spans="1:36" ht="15.75" thickBot="1" x14ac:dyDescent="0.3">
      <c r="A27" s="10">
        <v>17</v>
      </c>
      <c r="B27" s="122" t="str">
        <f>Attendance!B27</f>
        <v>MAGDUGO. BHE JAY PANGANIBAN</v>
      </c>
      <c r="C27" s="190">
        <f>Attendance!X26</f>
        <v>0</v>
      </c>
      <c r="D27" s="191"/>
      <c r="E27" s="192"/>
      <c r="F27" s="130"/>
      <c r="G27" s="128"/>
      <c r="H27" s="55"/>
      <c r="I27" s="127"/>
      <c r="J27" s="124"/>
      <c r="K27" s="50"/>
      <c r="L27" s="85"/>
      <c r="M27" s="90">
        <f t="shared" si="0"/>
        <v>0</v>
      </c>
      <c r="N27" s="88">
        <f t="shared" si="1"/>
        <v>50</v>
      </c>
      <c r="O27" s="83">
        <f t="shared" si="2"/>
        <v>12.5</v>
      </c>
      <c r="P27" s="66"/>
      <c r="Q27" s="55"/>
      <c r="R27" s="55"/>
      <c r="S27" s="57"/>
      <c r="T27" s="56"/>
      <c r="U27" s="95">
        <f t="shared" si="3"/>
        <v>0</v>
      </c>
      <c r="V27" s="101">
        <f t="shared" si="4"/>
        <v>50</v>
      </c>
      <c r="W27" s="102">
        <f t="shared" si="5"/>
        <v>17.5</v>
      </c>
      <c r="X27" s="103">
        <f t="shared" si="6"/>
        <v>30</v>
      </c>
      <c r="Y27" s="66"/>
      <c r="Z27" s="105"/>
      <c r="AA27" s="108">
        <f t="shared" si="7"/>
        <v>0</v>
      </c>
      <c r="AB27" s="109">
        <f t="shared" si="8"/>
        <v>7.5</v>
      </c>
      <c r="AC27" s="107"/>
      <c r="AD27" s="81"/>
      <c r="AE27" s="110">
        <f t="shared" si="9"/>
        <v>0</v>
      </c>
      <c r="AF27" s="99">
        <f t="shared" si="10"/>
        <v>12.5</v>
      </c>
      <c r="AG27" s="111">
        <f t="shared" si="11"/>
        <v>20</v>
      </c>
      <c r="AI27" s="45">
        <f t="shared" si="12"/>
        <v>50</v>
      </c>
      <c r="AJ27" s="94" t="str">
        <f t="shared" si="13"/>
        <v>FAILED</v>
      </c>
    </row>
    <row r="28" spans="1:36" ht="15.75" thickBot="1" x14ac:dyDescent="0.3">
      <c r="A28" s="5">
        <v>18</v>
      </c>
      <c r="B28" s="122" t="str">
        <f>Attendance!B28</f>
        <v>MARIANO. ERICKA MAE BALUCA</v>
      </c>
      <c r="C28" s="190">
        <f>Attendance!X27</f>
        <v>0</v>
      </c>
      <c r="D28" s="191"/>
      <c r="E28" s="192"/>
      <c r="F28" s="130"/>
      <c r="G28" s="128"/>
      <c r="H28" s="55"/>
      <c r="I28" s="127"/>
      <c r="J28" s="124"/>
      <c r="K28" s="50"/>
      <c r="L28" s="85"/>
      <c r="M28" s="90">
        <f t="shared" si="0"/>
        <v>0</v>
      </c>
      <c r="N28" s="88">
        <f t="shared" si="1"/>
        <v>50</v>
      </c>
      <c r="O28" s="83">
        <f t="shared" si="2"/>
        <v>12.5</v>
      </c>
      <c r="P28" s="66"/>
      <c r="Q28" s="55"/>
      <c r="R28" s="55"/>
      <c r="S28" s="57"/>
      <c r="T28" s="56"/>
      <c r="U28" s="95">
        <f t="shared" si="3"/>
        <v>0</v>
      </c>
      <c r="V28" s="101">
        <f t="shared" si="4"/>
        <v>50</v>
      </c>
      <c r="W28" s="102">
        <f t="shared" si="5"/>
        <v>17.5</v>
      </c>
      <c r="X28" s="103">
        <f t="shared" si="6"/>
        <v>30</v>
      </c>
      <c r="Y28" s="66"/>
      <c r="Z28" s="105"/>
      <c r="AA28" s="108">
        <f t="shared" si="7"/>
        <v>0</v>
      </c>
      <c r="AB28" s="109">
        <f t="shared" si="8"/>
        <v>7.5</v>
      </c>
      <c r="AC28" s="107"/>
      <c r="AD28" s="81"/>
      <c r="AE28" s="110">
        <f t="shared" si="9"/>
        <v>0</v>
      </c>
      <c r="AF28" s="99">
        <f t="shared" si="10"/>
        <v>12.5</v>
      </c>
      <c r="AG28" s="111">
        <f t="shared" si="11"/>
        <v>20</v>
      </c>
      <c r="AI28" s="45">
        <f t="shared" si="12"/>
        <v>50</v>
      </c>
      <c r="AJ28" s="94" t="str">
        <f t="shared" si="13"/>
        <v>FAILED</v>
      </c>
    </row>
    <row r="29" spans="1:36" ht="15.75" thickBot="1" x14ac:dyDescent="0.3">
      <c r="A29" s="10">
        <v>19</v>
      </c>
      <c r="B29" s="122" t="str">
        <f>Attendance!B29</f>
        <v>MATULAC. JEREMIE LAÑOJAN</v>
      </c>
      <c r="C29" s="190">
        <f>Attendance!X28</f>
        <v>0</v>
      </c>
      <c r="D29" s="191"/>
      <c r="E29" s="192"/>
      <c r="F29" s="130"/>
      <c r="G29" s="128"/>
      <c r="H29" s="55"/>
      <c r="I29" s="127"/>
      <c r="J29" s="124"/>
      <c r="K29" s="50"/>
      <c r="L29" s="85"/>
      <c r="M29" s="90">
        <f t="shared" si="0"/>
        <v>0</v>
      </c>
      <c r="N29" s="88">
        <f t="shared" si="1"/>
        <v>50</v>
      </c>
      <c r="O29" s="83">
        <f t="shared" si="2"/>
        <v>12.5</v>
      </c>
      <c r="P29" s="67"/>
      <c r="Q29" s="68"/>
      <c r="R29" s="68"/>
      <c r="S29" s="68"/>
      <c r="T29" s="68"/>
      <c r="U29" s="95">
        <f t="shared" si="3"/>
        <v>0</v>
      </c>
      <c r="V29" s="101">
        <f t="shared" si="4"/>
        <v>50</v>
      </c>
      <c r="W29" s="102">
        <f t="shared" si="5"/>
        <v>17.5</v>
      </c>
      <c r="X29" s="103">
        <f t="shared" si="6"/>
        <v>30</v>
      </c>
      <c r="Y29" s="67"/>
      <c r="Z29" s="105"/>
      <c r="AA29" s="108">
        <f t="shared" si="7"/>
        <v>0</v>
      </c>
      <c r="AB29" s="109">
        <f t="shared" si="8"/>
        <v>7.5</v>
      </c>
      <c r="AC29" s="107"/>
      <c r="AD29" s="81"/>
      <c r="AE29" s="110">
        <f t="shared" si="9"/>
        <v>0</v>
      </c>
      <c r="AF29" s="99">
        <f t="shared" si="10"/>
        <v>12.5</v>
      </c>
      <c r="AG29" s="111">
        <f t="shared" si="11"/>
        <v>20</v>
      </c>
      <c r="AI29" s="45">
        <f t="shared" si="12"/>
        <v>50</v>
      </c>
      <c r="AJ29" s="94" t="str">
        <f t="shared" si="13"/>
        <v>FAILED</v>
      </c>
    </row>
    <row r="30" spans="1:36" ht="15.75" thickBot="1" x14ac:dyDescent="0.3">
      <c r="A30" s="5">
        <v>20</v>
      </c>
      <c r="B30" s="122" t="str">
        <f>Attendance!B30</f>
        <v>NASA. GEN FLORENCE NELLAS</v>
      </c>
      <c r="C30" s="190">
        <f>Attendance!X29</f>
        <v>0</v>
      </c>
      <c r="D30" s="191"/>
      <c r="E30" s="192"/>
      <c r="F30" s="130"/>
      <c r="G30" s="128"/>
      <c r="H30" s="55"/>
      <c r="I30" s="127"/>
      <c r="J30" s="124"/>
      <c r="K30" s="50"/>
      <c r="L30" s="85"/>
      <c r="M30" s="90">
        <f t="shared" si="0"/>
        <v>0</v>
      </c>
      <c r="N30" s="88">
        <f t="shared" si="1"/>
        <v>50</v>
      </c>
      <c r="O30" s="83">
        <f t="shared" si="2"/>
        <v>12.5</v>
      </c>
      <c r="P30" s="66"/>
      <c r="Q30" s="54"/>
      <c r="R30" s="54"/>
      <c r="S30" s="57"/>
      <c r="T30" s="56"/>
      <c r="U30" s="95">
        <f t="shared" si="3"/>
        <v>0</v>
      </c>
      <c r="V30" s="101">
        <f t="shared" si="4"/>
        <v>50</v>
      </c>
      <c r="W30" s="102">
        <f t="shared" si="5"/>
        <v>17.5</v>
      </c>
      <c r="X30" s="103">
        <f t="shared" si="6"/>
        <v>30</v>
      </c>
      <c r="Y30" s="66"/>
      <c r="Z30" s="105"/>
      <c r="AA30" s="108">
        <f t="shared" si="7"/>
        <v>0</v>
      </c>
      <c r="AB30" s="109">
        <f t="shared" si="8"/>
        <v>7.5</v>
      </c>
      <c r="AC30" s="107"/>
      <c r="AD30" s="81"/>
      <c r="AE30" s="110">
        <f t="shared" si="9"/>
        <v>0</v>
      </c>
      <c r="AF30" s="99">
        <f t="shared" si="10"/>
        <v>12.5</v>
      </c>
      <c r="AG30" s="111">
        <f t="shared" si="11"/>
        <v>20</v>
      </c>
      <c r="AI30" s="45">
        <f t="shared" si="12"/>
        <v>50</v>
      </c>
      <c r="AJ30" s="94" t="str">
        <f t="shared" si="13"/>
        <v>FAILED</v>
      </c>
    </row>
    <row r="31" spans="1:36" ht="15.75" thickBot="1" x14ac:dyDescent="0.3">
      <c r="A31" s="10">
        <v>21</v>
      </c>
      <c r="B31" s="122" t="str">
        <f>Attendance!B31</f>
        <v>ONEZ. CHRISTIAN JAY PATINIO</v>
      </c>
      <c r="C31" s="190">
        <f>Attendance!X30</f>
        <v>0</v>
      </c>
      <c r="D31" s="191"/>
      <c r="E31" s="192"/>
      <c r="F31" s="130"/>
      <c r="G31" s="128"/>
      <c r="H31" s="55"/>
      <c r="I31" s="127"/>
      <c r="J31" s="124"/>
      <c r="K31" s="50"/>
      <c r="L31" s="85"/>
      <c r="M31" s="90">
        <f t="shared" si="0"/>
        <v>0</v>
      </c>
      <c r="N31" s="88">
        <f t="shared" si="1"/>
        <v>50</v>
      </c>
      <c r="O31" s="83">
        <f t="shared" si="2"/>
        <v>12.5</v>
      </c>
      <c r="P31" s="67"/>
      <c r="Q31" s="68"/>
      <c r="R31" s="68"/>
      <c r="S31" s="68"/>
      <c r="T31" s="68"/>
      <c r="U31" s="95">
        <f t="shared" si="3"/>
        <v>0</v>
      </c>
      <c r="V31" s="101">
        <f t="shared" si="4"/>
        <v>50</v>
      </c>
      <c r="W31" s="102">
        <f t="shared" si="5"/>
        <v>17.5</v>
      </c>
      <c r="X31" s="103">
        <f t="shared" si="6"/>
        <v>30</v>
      </c>
      <c r="Y31" s="67"/>
      <c r="Z31" s="105"/>
      <c r="AA31" s="108">
        <f t="shared" si="7"/>
        <v>0</v>
      </c>
      <c r="AB31" s="109">
        <f t="shared" si="8"/>
        <v>7.5</v>
      </c>
      <c r="AC31" s="107"/>
      <c r="AD31" s="81"/>
      <c r="AE31" s="110">
        <f t="shared" si="9"/>
        <v>0</v>
      </c>
      <c r="AF31" s="99">
        <f t="shared" si="10"/>
        <v>12.5</v>
      </c>
      <c r="AG31" s="111">
        <f t="shared" si="11"/>
        <v>20</v>
      </c>
      <c r="AI31" s="45">
        <f t="shared" si="12"/>
        <v>50</v>
      </c>
      <c r="AJ31" s="94" t="str">
        <f t="shared" si="13"/>
        <v>FAILED</v>
      </c>
    </row>
    <row r="32" spans="1:36" ht="15.75" thickBot="1" x14ac:dyDescent="0.3">
      <c r="A32" s="5">
        <v>22</v>
      </c>
      <c r="B32" s="122" t="str">
        <f>Attendance!B32</f>
        <v>PADILLO. KIRK HILARY MOTAO</v>
      </c>
      <c r="C32" s="190">
        <f>Attendance!X31</f>
        <v>0</v>
      </c>
      <c r="D32" s="191"/>
      <c r="E32" s="192"/>
      <c r="F32" s="130"/>
      <c r="G32" s="128"/>
      <c r="H32" s="55"/>
      <c r="I32" s="127"/>
      <c r="J32" s="124"/>
      <c r="K32" s="50"/>
      <c r="L32" s="85"/>
      <c r="M32" s="90">
        <f t="shared" si="0"/>
        <v>0</v>
      </c>
      <c r="N32" s="88">
        <f t="shared" si="1"/>
        <v>50</v>
      </c>
      <c r="O32" s="83">
        <f t="shared" si="2"/>
        <v>12.5</v>
      </c>
      <c r="P32" s="66"/>
      <c r="Q32" s="54"/>
      <c r="R32" s="54"/>
      <c r="S32" s="57"/>
      <c r="T32" s="56"/>
      <c r="U32" s="95">
        <f t="shared" si="3"/>
        <v>0</v>
      </c>
      <c r="V32" s="101">
        <f t="shared" si="4"/>
        <v>50</v>
      </c>
      <c r="W32" s="102">
        <f t="shared" si="5"/>
        <v>17.5</v>
      </c>
      <c r="X32" s="103">
        <f t="shared" si="6"/>
        <v>30</v>
      </c>
      <c r="Y32" s="66"/>
      <c r="Z32" s="105"/>
      <c r="AA32" s="108">
        <f t="shared" si="7"/>
        <v>0</v>
      </c>
      <c r="AB32" s="109">
        <f t="shared" si="8"/>
        <v>7.5</v>
      </c>
      <c r="AC32" s="107"/>
      <c r="AD32" s="81"/>
      <c r="AE32" s="110">
        <f t="shared" si="9"/>
        <v>0</v>
      </c>
      <c r="AF32" s="99">
        <f t="shared" si="10"/>
        <v>12.5</v>
      </c>
      <c r="AG32" s="111">
        <f t="shared" si="11"/>
        <v>20</v>
      </c>
      <c r="AI32" s="45">
        <f t="shared" si="12"/>
        <v>50</v>
      </c>
      <c r="AJ32" s="94" t="str">
        <f t="shared" si="13"/>
        <v>FAILED</v>
      </c>
    </row>
    <row r="33" spans="1:36" ht="15.75" thickBot="1" x14ac:dyDescent="0.3">
      <c r="A33" s="10">
        <v>23</v>
      </c>
      <c r="B33" s="122" t="str">
        <f>Attendance!B33</f>
        <v>PAJO. MARK JEMUEL MANCENIDO</v>
      </c>
      <c r="C33" s="190">
        <f>Attendance!X32</f>
        <v>0</v>
      </c>
      <c r="D33" s="191"/>
      <c r="E33" s="192"/>
      <c r="F33" s="130"/>
      <c r="G33" s="128"/>
      <c r="H33" s="55"/>
      <c r="I33" s="127"/>
      <c r="J33" s="124"/>
      <c r="K33" s="50"/>
      <c r="L33" s="85"/>
      <c r="M33" s="90">
        <f t="shared" si="0"/>
        <v>0</v>
      </c>
      <c r="N33" s="88">
        <f t="shared" si="1"/>
        <v>50</v>
      </c>
      <c r="O33" s="83">
        <f t="shared" si="2"/>
        <v>12.5</v>
      </c>
      <c r="P33" s="66"/>
      <c r="Q33" s="54"/>
      <c r="R33" s="54"/>
      <c r="S33" s="57"/>
      <c r="T33" s="56"/>
      <c r="U33" s="95">
        <f t="shared" si="3"/>
        <v>0</v>
      </c>
      <c r="V33" s="101">
        <f t="shared" si="4"/>
        <v>50</v>
      </c>
      <c r="W33" s="102">
        <f t="shared" si="5"/>
        <v>17.5</v>
      </c>
      <c r="X33" s="103">
        <f t="shared" si="6"/>
        <v>30</v>
      </c>
      <c r="Y33" s="66"/>
      <c r="Z33" s="105"/>
      <c r="AA33" s="108">
        <f t="shared" si="7"/>
        <v>0</v>
      </c>
      <c r="AB33" s="109">
        <f t="shared" si="8"/>
        <v>7.5</v>
      </c>
      <c r="AC33" s="107"/>
      <c r="AD33" s="81"/>
      <c r="AE33" s="110">
        <f t="shared" si="9"/>
        <v>0</v>
      </c>
      <c r="AF33" s="99">
        <f t="shared" si="10"/>
        <v>12.5</v>
      </c>
      <c r="AG33" s="111">
        <f t="shared" si="11"/>
        <v>20</v>
      </c>
      <c r="AI33" s="45">
        <f t="shared" si="12"/>
        <v>50</v>
      </c>
      <c r="AJ33" s="94" t="str">
        <f t="shared" si="13"/>
        <v>FAILED</v>
      </c>
    </row>
    <row r="34" spans="1:36" ht="15.75" thickBot="1" x14ac:dyDescent="0.3">
      <c r="A34" s="5">
        <v>24</v>
      </c>
      <c r="B34" s="122" t="str">
        <f>Attendance!B34</f>
        <v>PANALIGAN. LEREMAE SHEANE TUGAP</v>
      </c>
      <c r="C34" s="190">
        <f>Attendance!X33</f>
        <v>0</v>
      </c>
      <c r="D34" s="191"/>
      <c r="E34" s="192"/>
      <c r="F34" s="130"/>
      <c r="G34" s="128"/>
      <c r="H34" s="55"/>
      <c r="I34" s="127"/>
      <c r="J34" s="124"/>
      <c r="K34" s="50"/>
      <c r="L34" s="85"/>
      <c r="M34" s="90">
        <f t="shared" si="0"/>
        <v>0</v>
      </c>
      <c r="N34" s="88">
        <f t="shared" si="1"/>
        <v>50</v>
      </c>
      <c r="O34" s="83">
        <f t="shared" si="2"/>
        <v>12.5</v>
      </c>
      <c r="P34" s="66"/>
      <c r="Q34" s="54"/>
      <c r="R34" s="54"/>
      <c r="S34" s="57"/>
      <c r="T34" s="56"/>
      <c r="U34" s="95">
        <f t="shared" si="3"/>
        <v>0</v>
      </c>
      <c r="V34" s="101">
        <f t="shared" si="4"/>
        <v>50</v>
      </c>
      <c r="W34" s="102">
        <f t="shared" si="5"/>
        <v>17.5</v>
      </c>
      <c r="X34" s="103">
        <f t="shared" si="6"/>
        <v>30</v>
      </c>
      <c r="Y34" s="66"/>
      <c r="Z34" s="105"/>
      <c r="AA34" s="108">
        <f t="shared" si="7"/>
        <v>0</v>
      </c>
      <c r="AB34" s="109">
        <f t="shared" si="8"/>
        <v>7.5</v>
      </c>
      <c r="AC34" s="107"/>
      <c r="AD34" s="81"/>
      <c r="AE34" s="110">
        <f t="shared" si="9"/>
        <v>0</v>
      </c>
      <c r="AF34" s="99">
        <f t="shared" si="10"/>
        <v>12.5</v>
      </c>
      <c r="AG34" s="111">
        <f t="shared" si="11"/>
        <v>20</v>
      </c>
      <c r="AI34" s="45">
        <f t="shared" si="12"/>
        <v>50</v>
      </c>
      <c r="AJ34" s="94" t="str">
        <f t="shared" si="13"/>
        <v>FAILED</v>
      </c>
    </row>
    <row r="35" spans="1:36" ht="15.75" thickBot="1" x14ac:dyDescent="0.3">
      <c r="A35" s="10">
        <v>25</v>
      </c>
      <c r="B35" s="122" t="str">
        <f>Attendance!B35</f>
        <v>PANGALINON. PETER GLIMADA</v>
      </c>
      <c r="C35" s="190">
        <f>Attendance!X34</f>
        <v>0</v>
      </c>
      <c r="D35" s="191"/>
      <c r="E35" s="192"/>
      <c r="F35" s="130"/>
      <c r="G35" s="128"/>
      <c r="H35" s="55"/>
      <c r="I35" s="127"/>
      <c r="J35" s="124"/>
      <c r="K35" s="50"/>
      <c r="L35" s="85"/>
      <c r="M35" s="90">
        <f t="shared" si="0"/>
        <v>0</v>
      </c>
      <c r="N35" s="88">
        <f t="shared" si="1"/>
        <v>50</v>
      </c>
      <c r="O35" s="83">
        <f t="shared" si="2"/>
        <v>12.5</v>
      </c>
      <c r="P35" s="66"/>
      <c r="Q35" s="54"/>
      <c r="R35" s="54"/>
      <c r="S35" s="57"/>
      <c r="T35" s="56"/>
      <c r="U35" s="95">
        <f t="shared" si="3"/>
        <v>0</v>
      </c>
      <c r="V35" s="101">
        <f t="shared" si="4"/>
        <v>50</v>
      </c>
      <c r="W35" s="102">
        <f t="shared" si="5"/>
        <v>17.5</v>
      </c>
      <c r="X35" s="103">
        <f t="shared" si="6"/>
        <v>30</v>
      </c>
      <c r="Y35" s="66"/>
      <c r="Z35" s="105"/>
      <c r="AA35" s="108">
        <f t="shared" si="7"/>
        <v>0</v>
      </c>
      <c r="AB35" s="109">
        <f t="shared" si="8"/>
        <v>7.5</v>
      </c>
      <c r="AC35" s="107"/>
      <c r="AD35" s="81"/>
      <c r="AE35" s="110">
        <f t="shared" si="9"/>
        <v>0</v>
      </c>
      <c r="AF35" s="99">
        <f t="shared" si="10"/>
        <v>12.5</v>
      </c>
      <c r="AG35" s="111">
        <f t="shared" si="11"/>
        <v>20</v>
      </c>
      <c r="AI35" s="45">
        <f t="shared" si="12"/>
        <v>50</v>
      </c>
      <c r="AJ35" s="94" t="str">
        <f t="shared" si="13"/>
        <v>FAILED</v>
      </c>
    </row>
    <row r="36" spans="1:36" ht="15.75" thickBot="1" x14ac:dyDescent="0.3">
      <c r="A36" s="5">
        <v>26</v>
      </c>
      <c r="B36" s="122" t="str">
        <f>Attendance!B36</f>
        <v>PARADERO. NIKKO SOLAYAO</v>
      </c>
      <c r="C36" s="190">
        <f>Attendance!X35</f>
        <v>0</v>
      </c>
      <c r="D36" s="191"/>
      <c r="E36" s="192"/>
      <c r="F36" s="130"/>
      <c r="G36" s="128"/>
      <c r="H36" s="55"/>
      <c r="I36" s="127"/>
      <c r="J36" s="124"/>
      <c r="K36" s="50"/>
      <c r="L36" s="85"/>
      <c r="M36" s="90">
        <f t="shared" si="0"/>
        <v>0</v>
      </c>
      <c r="N36" s="88">
        <f t="shared" si="1"/>
        <v>50</v>
      </c>
      <c r="O36" s="83">
        <f t="shared" si="2"/>
        <v>12.5</v>
      </c>
      <c r="P36" s="66"/>
      <c r="Q36" s="54"/>
      <c r="R36" s="54"/>
      <c r="S36" s="57"/>
      <c r="T36" s="56"/>
      <c r="U36" s="95">
        <f t="shared" si="3"/>
        <v>0</v>
      </c>
      <c r="V36" s="101">
        <f t="shared" si="4"/>
        <v>50</v>
      </c>
      <c r="W36" s="102">
        <f t="shared" si="5"/>
        <v>17.5</v>
      </c>
      <c r="X36" s="103">
        <f t="shared" si="6"/>
        <v>30</v>
      </c>
      <c r="Y36" s="66"/>
      <c r="Z36" s="105"/>
      <c r="AA36" s="108">
        <f t="shared" si="7"/>
        <v>0</v>
      </c>
      <c r="AB36" s="109">
        <f t="shared" si="8"/>
        <v>7.5</v>
      </c>
      <c r="AC36" s="107"/>
      <c r="AD36" s="81"/>
      <c r="AE36" s="110">
        <f t="shared" si="9"/>
        <v>0</v>
      </c>
      <c r="AF36" s="99">
        <f t="shared" si="10"/>
        <v>12.5</v>
      </c>
      <c r="AG36" s="111">
        <f t="shared" si="11"/>
        <v>20</v>
      </c>
      <c r="AI36" s="45">
        <f t="shared" si="12"/>
        <v>50</v>
      </c>
      <c r="AJ36" s="94" t="str">
        <f t="shared" si="13"/>
        <v>FAILED</v>
      </c>
    </row>
    <row r="37" spans="1:36" ht="15.75" thickBot="1" x14ac:dyDescent="0.3">
      <c r="A37" s="5">
        <v>27</v>
      </c>
      <c r="B37" s="122" t="str">
        <f>Attendance!B37</f>
        <v>RECALE. IVAN JAY DEMILLO</v>
      </c>
      <c r="C37" s="190">
        <f>Attendance!X36</f>
        <v>0</v>
      </c>
      <c r="D37" s="191"/>
      <c r="E37" s="192"/>
      <c r="F37" s="130"/>
      <c r="G37" s="128"/>
      <c r="H37" s="55"/>
      <c r="I37" s="127"/>
      <c r="J37" s="124"/>
      <c r="K37" s="50"/>
      <c r="L37" s="85"/>
      <c r="M37" s="90">
        <f t="shared" si="0"/>
        <v>0</v>
      </c>
      <c r="N37" s="88">
        <f t="shared" si="1"/>
        <v>50</v>
      </c>
      <c r="O37" s="83">
        <f t="shared" si="2"/>
        <v>12.5</v>
      </c>
      <c r="P37" s="66"/>
      <c r="Q37" s="54"/>
      <c r="R37" s="54"/>
      <c r="S37" s="57"/>
      <c r="T37" s="56"/>
      <c r="U37" s="95">
        <f t="shared" si="3"/>
        <v>0</v>
      </c>
      <c r="V37" s="101">
        <f t="shared" si="4"/>
        <v>50</v>
      </c>
      <c r="W37" s="102">
        <f t="shared" si="5"/>
        <v>17.5</v>
      </c>
      <c r="X37" s="103">
        <f t="shared" si="6"/>
        <v>30</v>
      </c>
      <c r="Y37" s="66"/>
      <c r="Z37" s="105"/>
      <c r="AA37" s="108">
        <f t="shared" si="7"/>
        <v>0</v>
      </c>
      <c r="AB37" s="109">
        <f t="shared" si="8"/>
        <v>7.5</v>
      </c>
      <c r="AC37" s="107"/>
      <c r="AD37" s="81"/>
      <c r="AE37" s="110">
        <f t="shared" si="9"/>
        <v>0</v>
      </c>
      <c r="AF37" s="99">
        <f t="shared" si="10"/>
        <v>12.5</v>
      </c>
      <c r="AG37" s="111">
        <f t="shared" si="11"/>
        <v>20</v>
      </c>
      <c r="AI37" s="45">
        <f t="shared" si="12"/>
        <v>50</v>
      </c>
      <c r="AJ37" s="94" t="str">
        <f t="shared" si="13"/>
        <v>FAILED</v>
      </c>
    </row>
    <row r="38" spans="1:36" ht="15.75" thickBot="1" x14ac:dyDescent="0.3">
      <c r="A38" s="5">
        <v>28</v>
      </c>
      <c r="B38" s="122" t="str">
        <f>Attendance!B38</f>
        <v>ROCABERTE. IVAN JHAMES MEPERANUM</v>
      </c>
      <c r="C38" s="190">
        <f>Attendance!X37</f>
        <v>0</v>
      </c>
      <c r="D38" s="191"/>
      <c r="E38" s="192"/>
      <c r="F38" s="130"/>
      <c r="G38" s="128"/>
      <c r="H38" s="55"/>
      <c r="I38" s="127"/>
      <c r="J38" s="124"/>
      <c r="K38" s="50"/>
      <c r="L38" s="85"/>
      <c r="M38" s="90">
        <f t="shared" si="0"/>
        <v>0</v>
      </c>
      <c r="N38" s="88">
        <f t="shared" si="1"/>
        <v>50</v>
      </c>
      <c r="O38" s="83">
        <f t="shared" si="2"/>
        <v>12.5</v>
      </c>
      <c r="P38" s="66"/>
      <c r="Q38" s="54"/>
      <c r="R38" s="54"/>
      <c r="S38" s="57"/>
      <c r="T38" s="56"/>
      <c r="U38" s="95">
        <f t="shared" si="3"/>
        <v>0</v>
      </c>
      <c r="V38" s="101">
        <f t="shared" si="4"/>
        <v>50</v>
      </c>
      <c r="W38" s="102">
        <f t="shared" si="5"/>
        <v>17.5</v>
      </c>
      <c r="X38" s="103">
        <f t="shared" si="6"/>
        <v>30</v>
      </c>
      <c r="Y38" s="66"/>
      <c r="Z38" s="105"/>
      <c r="AA38" s="108">
        <f t="shared" si="7"/>
        <v>0</v>
      </c>
      <c r="AB38" s="109">
        <f t="shared" si="8"/>
        <v>7.5</v>
      </c>
      <c r="AC38" s="107"/>
      <c r="AD38" s="81"/>
      <c r="AE38" s="110">
        <f t="shared" si="9"/>
        <v>0</v>
      </c>
      <c r="AF38" s="99">
        <f t="shared" si="10"/>
        <v>12.5</v>
      </c>
      <c r="AG38" s="111">
        <f t="shared" si="11"/>
        <v>20</v>
      </c>
      <c r="AI38" s="45">
        <f t="shared" si="12"/>
        <v>50</v>
      </c>
      <c r="AJ38" s="94" t="str">
        <f t="shared" si="13"/>
        <v>FAILED</v>
      </c>
    </row>
    <row r="39" spans="1:36" ht="15.75" thickBot="1" x14ac:dyDescent="0.3">
      <c r="A39" s="5">
        <v>29</v>
      </c>
      <c r="B39" s="122" t="str">
        <f>Attendance!B39</f>
        <v>SARDONCILLO. ELLY MAY YSULAN</v>
      </c>
      <c r="C39" s="190">
        <f>Attendance!X38</f>
        <v>0</v>
      </c>
      <c r="D39" s="191"/>
      <c r="E39" s="192"/>
      <c r="F39" s="130"/>
      <c r="G39" s="128"/>
      <c r="H39" s="55"/>
      <c r="I39" s="127"/>
      <c r="J39" s="124"/>
      <c r="K39" s="50"/>
      <c r="L39" s="85"/>
      <c r="M39" s="90">
        <f t="shared" si="0"/>
        <v>0</v>
      </c>
      <c r="N39" s="88">
        <f t="shared" si="1"/>
        <v>50</v>
      </c>
      <c r="O39" s="83">
        <f t="shared" si="2"/>
        <v>12.5</v>
      </c>
      <c r="P39" s="66"/>
      <c r="Q39" s="54"/>
      <c r="R39" s="54"/>
      <c r="S39" s="57"/>
      <c r="T39" s="56"/>
      <c r="U39" s="95">
        <f t="shared" si="3"/>
        <v>0</v>
      </c>
      <c r="V39" s="101">
        <f t="shared" si="4"/>
        <v>50</v>
      </c>
      <c r="W39" s="102">
        <f t="shared" si="5"/>
        <v>17.5</v>
      </c>
      <c r="X39" s="103">
        <f t="shared" si="6"/>
        <v>30</v>
      </c>
      <c r="Y39" s="66"/>
      <c r="Z39" s="105"/>
      <c r="AA39" s="108">
        <f t="shared" si="7"/>
        <v>0</v>
      </c>
      <c r="AB39" s="109">
        <f t="shared" si="8"/>
        <v>7.5</v>
      </c>
      <c r="AC39" s="107"/>
      <c r="AD39" s="81"/>
      <c r="AE39" s="110">
        <f t="shared" si="9"/>
        <v>0</v>
      </c>
      <c r="AF39" s="99">
        <f t="shared" si="10"/>
        <v>12.5</v>
      </c>
      <c r="AG39" s="111">
        <f t="shared" si="11"/>
        <v>20</v>
      </c>
      <c r="AI39" s="45">
        <f t="shared" si="12"/>
        <v>50</v>
      </c>
      <c r="AJ39" s="94" t="str">
        <f t="shared" si="13"/>
        <v>FAILED</v>
      </c>
    </row>
    <row r="40" spans="1:36" ht="15.75" thickBot="1" x14ac:dyDescent="0.3">
      <c r="A40" s="5">
        <v>30</v>
      </c>
      <c r="B40" s="122" t="str">
        <f>Attendance!B40</f>
        <v>SIAGO. JERICHO CALUNSAG</v>
      </c>
      <c r="C40" s="190">
        <f>Attendance!X39</f>
        <v>0</v>
      </c>
      <c r="D40" s="191"/>
      <c r="E40" s="192"/>
      <c r="F40" s="130"/>
      <c r="G40" s="128"/>
      <c r="H40" s="55"/>
      <c r="I40" s="127"/>
      <c r="J40" s="124"/>
      <c r="K40" s="50"/>
      <c r="L40" s="85"/>
      <c r="M40" s="90">
        <f t="shared" si="0"/>
        <v>0</v>
      </c>
      <c r="N40" s="88">
        <f t="shared" si="1"/>
        <v>50</v>
      </c>
      <c r="O40" s="83">
        <f t="shared" si="2"/>
        <v>12.5</v>
      </c>
      <c r="P40" s="66"/>
      <c r="Q40" s="54"/>
      <c r="R40" s="54"/>
      <c r="S40" s="57"/>
      <c r="T40" s="56"/>
      <c r="U40" s="95">
        <f t="shared" si="3"/>
        <v>0</v>
      </c>
      <c r="V40" s="101">
        <f t="shared" si="4"/>
        <v>50</v>
      </c>
      <c r="W40" s="102">
        <f t="shared" si="5"/>
        <v>17.5</v>
      </c>
      <c r="X40" s="103">
        <f t="shared" si="6"/>
        <v>30</v>
      </c>
      <c r="Y40" s="66"/>
      <c r="Z40" s="105"/>
      <c r="AA40" s="108">
        <f t="shared" si="7"/>
        <v>0</v>
      </c>
      <c r="AB40" s="109">
        <f t="shared" si="8"/>
        <v>7.5</v>
      </c>
      <c r="AC40" s="107"/>
      <c r="AD40" s="81"/>
      <c r="AE40" s="110">
        <f t="shared" si="9"/>
        <v>0</v>
      </c>
      <c r="AF40" s="99">
        <f t="shared" si="10"/>
        <v>12.5</v>
      </c>
      <c r="AG40" s="111">
        <f t="shared" si="11"/>
        <v>20</v>
      </c>
      <c r="AI40" s="45">
        <f t="shared" si="12"/>
        <v>50</v>
      </c>
      <c r="AJ40" s="94" t="str">
        <f t="shared" si="13"/>
        <v>FAILED</v>
      </c>
    </row>
    <row r="41" spans="1:36" ht="15.75" thickBot="1" x14ac:dyDescent="0.3">
      <c r="A41" s="5">
        <v>31</v>
      </c>
      <c r="B41" s="122" t="str">
        <f>Attendance!B41</f>
        <v>SILAGAN. THYRON CABILES</v>
      </c>
      <c r="C41" s="190">
        <f>Attendance!X40</f>
        <v>0</v>
      </c>
      <c r="D41" s="191"/>
      <c r="E41" s="192"/>
      <c r="F41" s="130"/>
      <c r="G41" s="128"/>
      <c r="H41" s="55"/>
      <c r="I41" s="127"/>
      <c r="J41" s="124"/>
      <c r="K41" s="50"/>
      <c r="L41" s="85"/>
      <c r="M41" s="90">
        <f t="shared" si="0"/>
        <v>0</v>
      </c>
      <c r="N41" s="88">
        <f t="shared" si="1"/>
        <v>50</v>
      </c>
      <c r="O41" s="83">
        <f t="shared" si="2"/>
        <v>12.5</v>
      </c>
      <c r="P41" s="66"/>
      <c r="Q41" s="54"/>
      <c r="R41" s="54"/>
      <c r="S41" s="57"/>
      <c r="T41" s="56"/>
      <c r="U41" s="95">
        <f t="shared" si="3"/>
        <v>0</v>
      </c>
      <c r="V41" s="101">
        <f t="shared" si="4"/>
        <v>50</v>
      </c>
      <c r="W41" s="102">
        <f t="shared" si="5"/>
        <v>17.5</v>
      </c>
      <c r="X41" s="103">
        <f t="shared" si="6"/>
        <v>30</v>
      </c>
      <c r="Y41" s="66"/>
      <c r="Z41" s="105"/>
      <c r="AA41" s="108">
        <f t="shared" si="7"/>
        <v>0</v>
      </c>
      <c r="AB41" s="109">
        <f t="shared" si="8"/>
        <v>7.5</v>
      </c>
      <c r="AC41" s="107"/>
      <c r="AD41" s="81"/>
      <c r="AE41" s="110">
        <f t="shared" si="9"/>
        <v>0</v>
      </c>
      <c r="AF41" s="99">
        <f t="shared" si="10"/>
        <v>12.5</v>
      </c>
      <c r="AG41" s="111">
        <f t="shared" si="11"/>
        <v>20</v>
      </c>
      <c r="AI41" s="45">
        <f t="shared" si="12"/>
        <v>50</v>
      </c>
      <c r="AJ41" s="94" t="str">
        <f t="shared" si="13"/>
        <v>FAILED</v>
      </c>
    </row>
    <row r="42" spans="1:36" ht="15.75" thickBot="1" x14ac:dyDescent="0.3">
      <c r="A42" s="5">
        <v>32</v>
      </c>
      <c r="B42" s="122" t="str">
        <f>Attendance!B42</f>
        <v>SUERTE. KHENT BRIANE ORCASITAS</v>
      </c>
      <c r="C42" s="190">
        <f>Attendance!X41</f>
        <v>0</v>
      </c>
      <c r="D42" s="191"/>
      <c r="E42" s="192"/>
      <c r="F42" s="130"/>
      <c r="G42" s="128"/>
      <c r="H42" s="55"/>
      <c r="I42" s="127"/>
      <c r="J42" s="124"/>
      <c r="K42" s="50"/>
      <c r="L42" s="85"/>
      <c r="M42" s="90">
        <f t="shared" si="0"/>
        <v>0</v>
      </c>
      <c r="N42" s="88">
        <f t="shared" si="1"/>
        <v>50</v>
      </c>
      <c r="O42" s="83">
        <f t="shared" si="2"/>
        <v>12.5</v>
      </c>
      <c r="P42" s="66"/>
      <c r="Q42" s="54"/>
      <c r="R42" s="54"/>
      <c r="S42" s="57"/>
      <c r="T42" s="56"/>
      <c r="U42" s="95">
        <f t="shared" si="3"/>
        <v>0</v>
      </c>
      <c r="V42" s="101">
        <f t="shared" si="4"/>
        <v>50</v>
      </c>
      <c r="W42" s="102">
        <f t="shared" si="5"/>
        <v>17.5</v>
      </c>
      <c r="X42" s="103">
        <f t="shared" si="6"/>
        <v>30</v>
      </c>
      <c r="Y42" s="66"/>
      <c r="Z42" s="105"/>
      <c r="AA42" s="108">
        <f t="shared" si="7"/>
        <v>0</v>
      </c>
      <c r="AB42" s="109">
        <f t="shared" si="8"/>
        <v>7.5</v>
      </c>
      <c r="AC42" s="107"/>
      <c r="AD42" s="81"/>
      <c r="AE42" s="110">
        <f t="shared" si="9"/>
        <v>0</v>
      </c>
      <c r="AF42" s="99">
        <f t="shared" si="10"/>
        <v>12.5</v>
      </c>
      <c r="AG42" s="111">
        <f t="shared" si="11"/>
        <v>20</v>
      </c>
      <c r="AI42" s="45">
        <f t="shared" si="12"/>
        <v>50</v>
      </c>
      <c r="AJ42" s="94" t="str">
        <f t="shared" si="13"/>
        <v>FAILED</v>
      </c>
    </row>
    <row r="43" spans="1:36" ht="15.75" thickBot="1" x14ac:dyDescent="0.3">
      <c r="A43" s="5">
        <v>33</v>
      </c>
      <c r="B43" s="122" t="str">
        <f>Attendance!B43</f>
        <v>SUMUGAT. EDGARDO JR. CORDEVILLA</v>
      </c>
      <c r="C43" s="190">
        <f>Attendance!X42</f>
        <v>0</v>
      </c>
      <c r="D43" s="191"/>
      <c r="E43" s="192"/>
      <c r="F43" s="130"/>
      <c r="G43" s="128"/>
      <c r="H43" s="55"/>
      <c r="I43" s="127"/>
      <c r="J43" s="124"/>
      <c r="K43" s="50"/>
      <c r="L43" s="85"/>
      <c r="M43" s="90">
        <f t="shared" si="0"/>
        <v>0</v>
      </c>
      <c r="N43" s="88">
        <f t="shared" si="1"/>
        <v>50</v>
      </c>
      <c r="O43" s="83">
        <f t="shared" si="2"/>
        <v>12.5</v>
      </c>
      <c r="P43" s="66"/>
      <c r="Q43" s="54"/>
      <c r="R43" s="54"/>
      <c r="S43" s="57"/>
      <c r="T43" s="56"/>
      <c r="U43" s="95">
        <f t="shared" si="3"/>
        <v>0</v>
      </c>
      <c r="V43" s="101">
        <f t="shared" si="4"/>
        <v>50</v>
      </c>
      <c r="W43" s="102">
        <f t="shared" si="5"/>
        <v>17.5</v>
      </c>
      <c r="X43" s="103">
        <f t="shared" si="6"/>
        <v>30</v>
      </c>
      <c r="Y43" s="66"/>
      <c r="Z43" s="105"/>
      <c r="AA43" s="108">
        <f t="shared" si="7"/>
        <v>0</v>
      </c>
      <c r="AB43" s="109">
        <f t="shared" si="8"/>
        <v>7.5</v>
      </c>
      <c r="AC43" s="107"/>
      <c r="AD43" s="81"/>
      <c r="AE43" s="110">
        <f t="shared" si="9"/>
        <v>0</v>
      </c>
      <c r="AF43" s="99">
        <f t="shared" si="10"/>
        <v>12.5</v>
      </c>
      <c r="AG43" s="111">
        <f t="shared" si="11"/>
        <v>20</v>
      </c>
      <c r="AI43" s="45">
        <f t="shared" si="12"/>
        <v>50</v>
      </c>
      <c r="AJ43" s="94" t="str">
        <f t="shared" si="13"/>
        <v>FAILED</v>
      </c>
    </row>
    <row r="44" spans="1:36" ht="15.75" thickBot="1" x14ac:dyDescent="0.3">
      <c r="A44" s="5">
        <v>34</v>
      </c>
      <c r="B44" s="122" t="str">
        <f>Attendance!B44</f>
        <v>TABLATIN. CHRISTIAN JAY BAYONA</v>
      </c>
      <c r="C44" s="190">
        <f>Attendance!X43</f>
        <v>0</v>
      </c>
      <c r="D44" s="191"/>
      <c r="E44" s="192"/>
      <c r="F44" s="130"/>
      <c r="G44" s="128"/>
      <c r="H44" s="55"/>
      <c r="I44" s="127"/>
      <c r="J44" s="124"/>
      <c r="K44" s="50"/>
      <c r="L44" s="85"/>
      <c r="M44" s="90">
        <f t="shared" si="0"/>
        <v>0</v>
      </c>
      <c r="N44" s="88">
        <f t="shared" si="1"/>
        <v>50</v>
      </c>
      <c r="O44" s="83">
        <f t="shared" si="2"/>
        <v>12.5</v>
      </c>
      <c r="P44" s="66"/>
      <c r="Q44" s="54"/>
      <c r="R44" s="54"/>
      <c r="S44" s="57"/>
      <c r="T44" s="56"/>
      <c r="U44" s="95">
        <f t="shared" si="3"/>
        <v>0</v>
      </c>
      <c r="V44" s="101">
        <f t="shared" si="4"/>
        <v>50</v>
      </c>
      <c r="W44" s="102">
        <f t="shared" si="5"/>
        <v>17.5</v>
      </c>
      <c r="X44" s="103">
        <f t="shared" si="6"/>
        <v>30</v>
      </c>
      <c r="Y44" s="66"/>
      <c r="Z44" s="105"/>
      <c r="AA44" s="108">
        <f t="shared" si="7"/>
        <v>0</v>
      </c>
      <c r="AB44" s="109">
        <f t="shared" si="8"/>
        <v>7.5</v>
      </c>
      <c r="AC44" s="107"/>
      <c r="AD44" s="81"/>
      <c r="AE44" s="110">
        <f t="shared" si="9"/>
        <v>0</v>
      </c>
      <c r="AF44" s="99">
        <f t="shared" si="10"/>
        <v>12.5</v>
      </c>
      <c r="AG44" s="111">
        <f t="shared" si="11"/>
        <v>20</v>
      </c>
      <c r="AI44" s="45">
        <f t="shared" si="12"/>
        <v>50</v>
      </c>
      <c r="AJ44" s="94" t="str">
        <f t="shared" si="13"/>
        <v>FAILED</v>
      </c>
    </row>
    <row r="45" spans="1:36" ht="15.75" thickBot="1" x14ac:dyDescent="0.3">
      <c r="A45" s="5">
        <v>35</v>
      </c>
      <c r="B45" s="122" t="str">
        <f>Attendance!B45</f>
        <v>TAMPUS. CALE JANINE BRINGAS</v>
      </c>
      <c r="C45" s="190">
        <f>Attendance!X44</f>
        <v>0</v>
      </c>
      <c r="D45" s="191"/>
      <c r="E45" s="192"/>
      <c r="F45" s="130"/>
      <c r="G45" s="128"/>
      <c r="H45" s="55"/>
      <c r="I45" s="127"/>
      <c r="J45" s="124"/>
      <c r="K45" s="50"/>
      <c r="L45" s="85"/>
      <c r="M45" s="90">
        <f t="shared" si="0"/>
        <v>0</v>
      </c>
      <c r="N45" s="88">
        <f t="shared" si="1"/>
        <v>50</v>
      </c>
      <c r="O45" s="83">
        <f t="shared" si="2"/>
        <v>12.5</v>
      </c>
      <c r="P45" s="66"/>
      <c r="Q45" s="54"/>
      <c r="R45" s="54"/>
      <c r="S45" s="57"/>
      <c r="T45" s="56"/>
      <c r="U45" s="95">
        <f t="shared" si="3"/>
        <v>0</v>
      </c>
      <c r="V45" s="101">
        <f t="shared" si="4"/>
        <v>50</v>
      </c>
      <c r="W45" s="102">
        <f t="shared" si="5"/>
        <v>17.5</v>
      </c>
      <c r="X45" s="103">
        <f t="shared" si="6"/>
        <v>30</v>
      </c>
      <c r="Y45" s="66"/>
      <c r="Z45" s="105"/>
      <c r="AA45" s="108">
        <f t="shared" si="7"/>
        <v>0</v>
      </c>
      <c r="AB45" s="109">
        <f t="shared" si="8"/>
        <v>7.5</v>
      </c>
      <c r="AC45" s="107"/>
      <c r="AD45" s="81"/>
      <c r="AE45" s="110">
        <f t="shared" si="9"/>
        <v>0</v>
      </c>
      <c r="AF45" s="99">
        <f t="shared" si="10"/>
        <v>12.5</v>
      </c>
      <c r="AG45" s="111">
        <f t="shared" si="11"/>
        <v>20</v>
      </c>
      <c r="AI45" s="45">
        <f t="shared" si="12"/>
        <v>50</v>
      </c>
      <c r="AJ45" s="94" t="str">
        <f t="shared" si="13"/>
        <v>FAILED</v>
      </c>
    </row>
    <row r="46" spans="1:36" ht="15.75" thickBot="1" x14ac:dyDescent="0.3">
      <c r="A46" s="5">
        <v>36</v>
      </c>
      <c r="B46" s="122" t="str">
        <f>Attendance!B46</f>
        <v>TEJADA. JURIELLE MARTIZANO</v>
      </c>
      <c r="C46" s="190">
        <f>Attendance!X45</f>
        <v>0</v>
      </c>
      <c r="D46" s="191"/>
      <c r="E46" s="192"/>
      <c r="F46" s="130"/>
      <c r="G46" s="128"/>
      <c r="H46" s="55"/>
      <c r="I46" s="127"/>
      <c r="J46" s="124"/>
      <c r="K46" s="50"/>
      <c r="L46" s="85"/>
      <c r="M46" s="90">
        <f t="shared" si="0"/>
        <v>0</v>
      </c>
      <c r="N46" s="88">
        <f t="shared" si="1"/>
        <v>50</v>
      </c>
      <c r="O46" s="83">
        <f t="shared" si="2"/>
        <v>12.5</v>
      </c>
      <c r="P46" s="66"/>
      <c r="Q46" s="54"/>
      <c r="R46" s="54"/>
      <c r="S46" s="57"/>
      <c r="T46" s="56"/>
      <c r="U46" s="95">
        <f t="shared" si="3"/>
        <v>0</v>
      </c>
      <c r="V46" s="101">
        <f t="shared" si="4"/>
        <v>50</v>
      </c>
      <c r="W46" s="102">
        <f t="shared" si="5"/>
        <v>17.5</v>
      </c>
      <c r="X46" s="103">
        <f t="shared" si="6"/>
        <v>30</v>
      </c>
      <c r="Y46" s="66"/>
      <c r="Z46" s="105"/>
      <c r="AA46" s="108">
        <f t="shared" si="7"/>
        <v>0</v>
      </c>
      <c r="AB46" s="109">
        <f t="shared" si="8"/>
        <v>7.5</v>
      </c>
      <c r="AC46" s="107"/>
      <c r="AD46" s="81"/>
      <c r="AE46" s="110">
        <f t="shared" si="9"/>
        <v>0</v>
      </c>
      <c r="AF46" s="99">
        <f t="shared" si="10"/>
        <v>12.5</v>
      </c>
      <c r="AG46" s="111">
        <f t="shared" si="11"/>
        <v>20</v>
      </c>
      <c r="AI46" s="45">
        <f t="shared" si="12"/>
        <v>50</v>
      </c>
      <c r="AJ46" s="94" t="str">
        <f t="shared" si="13"/>
        <v>FAILED</v>
      </c>
    </row>
    <row r="47" spans="1:36" ht="15.75" thickBot="1" x14ac:dyDescent="0.3">
      <c r="A47" s="5">
        <v>37</v>
      </c>
      <c r="B47" s="122" t="str">
        <f>Attendance!B47</f>
        <v>USMAN. KATHERINE YANONG</v>
      </c>
      <c r="C47" s="190">
        <f>Attendance!X46</f>
        <v>0</v>
      </c>
      <c r="D47" s="191"/>
      <c r="E47" s="192"/>
      <c r="F47" s="130"/>
      <c r="G47" s="128"/>
      <c r="H47" s="55"/>
      <c r="I47" s="127"/>
      <c r="J47" s="124"/>
      <c r="K47" s="50"/>
      <c r="L47" s="85"/>
      <c r="M47" s="90">
        <f t="shared" si="0"/>
        <v>0</v>
      </c>
      <c r="N47" s="88">
        <f t="shared" si="1"/>
        <v>50</v>
      </c>
      <c r="O47" s="83">
        <f t="shared" si="2"/>
        <v>12.5</v>
      </c>
      <c r="P47" s="66"/>
      <c r="Q47" s="54"/>
      <c r="R47" s="54"/>
      <c r="S47" s="57"/>
      <c r="T47" s="56"/>
      <c r="U47" s="95">
        <f t="shared" si="3"/>
        <v>0</v>
      </c>
      <c r="V47" s="101">
        <f t="shared" si="4"/>
        <v>50</v>
      </c>
      <c r="W47" s="102">
        <f t="shared" si="5"/>
        <v>17.5</v>
      </c>
      <c r="X47" s="103">
        <f t="shared" si="6"/>
        <v>30</v>
      </c>
      <c r="Y47" s="66"/>
      <c r="Z47" s="105"/>
      <c r="AA47" s="108">
        <f t="shared" si="7"/>
        <v>0</v>
      </c>
      <c r="AB47" s="109">
        <f t="shared" si="8"/>
        <v>7.5</v>
      </c>
      <c r="AC47" s="107"/>
      <c r="AD47" s="81"/>
      <c r="AE47" s="110">
        <f t="shared" si="9"/>
        <v>0</v>
      </c>
      <c r="AF47" s="99">
        <f t="shared" si="10"/>
        <v>12.5</v>
      </c>
      <c r="AG47" s="111">
        <f t="shared" si="11"/>
        <v>20</v>
      </c>
      <c r="AI47" s="45">
        <f t="shared" si="12"/>
        <v>50</v>
      </c>
      <c r="AJ47" s="94" t="str">
        <f t="shared" si="13"/>
        <v>FAILED</v>
      </c>
    </row>
    <row r="48" spans="1:36" ht="15.75" thickBot="1" x14ac:dyDescent="0.3">
      <c r="A48" s="5">
        <v>38</v>
      </c>
      <c r="B48" s="122" t="str">
        <f>Attendance!B48</f>
        <v>VILLARBA. JACOB PERNITO</v>
      </c>
      <c r="C48" s="190">
        <f>Attendance!X47</f>
        <v>0</v>
      </c>
      <c r="D48" s="191"/>
      <c r="E48" s="192"/>
      <c r="F48" s="130"/>
      <c r="G48" s="128"/>
      <c r="H48" s="55"/>
      <c r="I48" s="127"/>
      <c r="J48" s="124"/>
      <c r="K48" s="50"/>
      <c r="L48" s="85"/>
      <c r="M48" s="90">
        <f t="shared" si="0"/>
        <v>0</v>
      </c>
      <c r="N48" s="88">
        <f t="shared" si="1"/>
        <v>50</v>
      </c>
      <c r="O48" s="83">
        <f t="shared" si="2"/>
        <v>12.5</v>
      </c>
      <c r="P48" s="66"/>
      <c r="Q48" s="54"/>
      <c r="R48" s="54"/>
      <c r="S48" s="57"/>
      <c r="T48" s="56"/>
      <c r="U48" s="95">
        <f t="shared" si="3"/>
        <v>0</v>
      </c>
      <c r="V48" s="101">
        <f t="shared" si="4"/>
        <v>50</v>
      </c>
      <c r="W48" s="102">
        <f t="shared" si="5"/>
        <v>17.5</v>
      </c>
      <c r="X48" s="103">
        <f t="shared" si="6"/>
        <v>30</v>
      </c>
      <c r="Y48" s="66"/>
      <c r="Z48" s="105"/>
      <c r="AA48" s="108">
        <f t="shared" si="7"/>
        <v>0</v>
      </c>
      <c r="AB48" s="109">
        <f t="shared" si="8"/>
        <v>7.5</v>
      </c>
      <c r="AC48" s="107"/>
      <c r="AD48" s="81"/>
      <c r="AE48" s="110">
        <f t="shared" si="9"/>
        <v>0</v>
      </c>
      <c r="AF48" s="99">
        <f t="shared" si="10"/>
        <v>12.5</v>
      </c>
      <c r="AG48" s="111">
        <f t="shared" si="11"/>
        <v>20</v>
      </c>
      <c r="AI48" s="45">
        <f t="shared" si="12"/>
        <v>50</v>
      </c>
      <c r="AJ48" s="94" t="str">
        <f t="shared" si="13"/>
        <v>FAILED</v>
      </c>
    </row>
    <row r="49" spans="1:36" ht="15.75" thickBot="1" x14ac:dyDescent="0.3">
      <c r="A49" s="5">
        <v>39</v>
      </c>
      <c r="B49" s="122">
        <f>Attendance!B49</f>
        <v>0</v>
      </c>
      <c r="C49" s="190">
        <f>Attendance!X48</f>
        <v>0</v>
      </c>
      <c r="D49" s="191"/>
      <c r="E49" s="192"/>
      <c r="F49" s="131"/>
      <c r="G49" s="128"/>
      <c r="H49" s="55"/>
      <c r="I49" s="127"/>
      <c r="J49" s="125"/>
      <c r="K49" s="64"/>
      <c r="L49" s="86"/>
      <c r="M49" s="91">
        <f t="shared" si="0"/>
        <v>0</v>
      </c>
      <c r="N49" s="88">
        <f t="shared" si="1"/>
        <v>50</v>
      </c>
      <c r="O49" s="65">
        <f t="shared" si="2"/>
        <v>12.5</v>
      </c>
      <c r="P49" s="69"/>
      <c r="Q49" s="63"/>
      <c r="R49" s="63"/>
      <c r="S49" s="70"/>
      <c r="T49" s="71"/>
      <c r="U49" s="95">
        <f t="shared" si="3"/>
        <v>0</v>
      </c>
      <c r="V49" s="101">
        <f t="shared" si="4"/>
        <v>50</v>
      </c>
      <c r="W49" s="102">
        <f t="shared" si="5"/>
        <v>17.5</v>
      </c>
      <c r="X49" s="103">
        <f t="shared" si="6"/>
        <v>30</v>
      </c>
      <c r="Y49" s="69"/>
      <c r="Z49" s="106"/>
      <c r="AA49" s="108">
        <f t="shared" si="7"/>
        <v>0</v>
      </c>
      <c r="AB49" s="109">
        <f t="shared" si="8"/>
        <v>7.5</v>
      </c>
      <c r="AC49" s="107"/>
      <c r="AD49" s="82"/>
      <c r="AE49" s="110">
        <f t="shared" si="9"/>
        <v>0</v>
      </c>
      <c r="AF49" s="99">
        <f t="shared" si="10"/>
        <v>12.5</v>
      </c>
      <c r="AG49" s="111">
        <f t="shared" si="11"/>
        <v>20</v>
      </c>
      <c r="AI49" s="45">
        <f t="shared" si="12"/>
        <v>50</v>
      </c>
      <c r="AJ49" s="94" t="str">
        <f t="shared" si="13"/>
        <v>FAILED</v>
      </c>
    </row>
  </sheetData>
  <mergeCells count="54">
    <mergeCell ref="AC9:AF9"/>
    <mergeCell ref="C10:E10"/>
    <mergeCell ref="C1:AG5"/>
    <mergeCell ref="C6:AG6"/>
    <mergeCell ref="C7:X7"/>
    <mergeCell ref="Y7:AG7"/>
    <mergeCell ref="C8:E8"/>
    <mergeCell ref="F8:O8"/>
    <mergeCell ref="P8:W8"/>
    <mergeCell ref="Y8:AB8"/>
    <mergeCell ref="AC8:AF8"/>
    <mergeCell ref="C16:E16"/>
    <mergeCell ref="C9:E9"/>
    <mergeCell ref="F9:O9"/>
    <mergeCell ref="P9:W9"/>
    <mergeCell ref="Y9:AB9"/>
    <mergeCell ref="C11:E11"/>
    <mergeCell ref="C12:E12"/>
    <mergeCell ref="C13:E13"/>
    <mergeCell ref="C14:E14"/>
    <mergeCell ref="C15:E15"/>
    <mergeCell ref="C28:E28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40:E40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7:E47"/>
    <mergeCell ref="C48:E48"/>
    <mergeCell ref="C49:E49"/>
    <mergeCell ref="C41:E41"/>
    <mergeCell ref="C42:E42"/>
    <mergeCell ref="C43:E43"/>
    <mergeCell ref="C44:E44"/>
    <mergeCell ref="C45:E45"/>
    <mergeCell ref="C46:E46"/>
  </mergeCells>
  <conditionalFormatting sqref="AC8 AF10:AF49 AI7:AI49">
    <cfRule type="cellIs" dxfId="7" priority="3" operator="lessThan">
      <formula>75</formula>
    </cfRule>
  </conditionalFormatting>
  <conditionalFormatting sqref="AG10:AG49">
    <cfRule type="containsText" dxfId="6" priority="2" operator="containsText" text="FAILED">
      <formula>NOT(ISERROR(SEARCH("FAILED",AG10)))</formula>
    </cfRule>
  </conditionalFormatting>
  <conditionalFormatting sqref="AJ7:AJ49">
    <cfRule type="containsText" dxfId="5" priority="1" operator="containsText" text="FAILED">
      <formula>NOT(ISERROR(SEARCH("FAILED",AJ7)))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4C999-7FD9-4AD3-9105-BD926BB48B45}">
  <dimension ref="A1:AL49"/>
  <sheetViews>
    <sheetView zoomScale="90" zoomScaleNormal="90" workbookViewId="0">
      <selection activeCell="C11" sqref="C11:E11"/>
    </sheetView>
  </sheetViews>
  <sheetFormatPr defaultRowHeight="15" x14ac:dyDescent="0.25"/>
  <cols>
    <col min="2" max="2" width="44.5703125" customWidth="1"/>
    <col min="4" max="4" width="7.140625" customWidth="1"/>
    <col min="5" max="5" width="0.42578125" customWidth="1"/>
    <col min="24" max="24" width="19.140625" customWidth="1"/>
    <col min="29" max="29" width="10.85546875" customWidth="1"/>
    <col min="32" max="32" width="10.5703125" customWidth="1"/>
    <col min="33" max="33" width="19.5703125" customWidth="1"/>
    <col min="35" max="35" width="23.42578125" customWidth="1"/>
    <col min="36" max="36" width="20.28515625" customWidth="1"/>
  </cols>
  <sheetData>
    <row r="1" spans="1:38" x14ac:dyDescent="0.25">
      <c r="B1" s="16" t="str">
        <f>Attendance!B1</f>
        <v>SUBJECT: COMP 1</v>
      </c>
      <c r="C1" s="168" t="s">
        <v>19</v>
      </c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</row>
    <row r="2" spans="1:38" x14ac:dyDescent="0.25">
      <c r="B2" s="16" t="str">
        <f>Attendance!B2</f>
        <v>COURSE/YEAR: BSIT 1A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</row>
    <row r="3" spans="1:38" x14ac:dyDescent="0.25">
      <c r="B3" s="16" t="str">
        <f>Attendance!B3</f>
        <v xml:space="preserve">TIME: 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</row>
    <row r="4" spans="1:38" x14ac:dyDescent="0.25">
      <c r="B4" s="16" t="str">
        <f>Attendance!B4</f>
        <v xml:space="preserve">ROOM: </v>
      </c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</row>
    <row r="5" spans="1:38" x14ac:dyDescent="0.25">
      <c r="B5" s="16" t="str">
        <f>Attendance!B5</f>
        <v xml:space="preserve">UNITS: </v>
      </c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</row>
    <row r="6" spans="1:38" ht="15.75" thickBot="1" x14ac:dyDescent="0.3">
      <c r="A6" s="1"/>
      <c r="B6" s="2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I6" s="20" t="s">
        <v>9</v>
      </c>
      <c r="AJ6" s="19"/>
      <c r="AK6" s="19"/>
      <c r="AL6" s="19"/>
    </row>
    <row r="7" spans="1:38" ht="29.25" thickBot="1" x14ac:dyDescent="0.5">
      <c r="C7" s="152" t="s">
        <v>70</v>
      </c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4" t="s">
        <v>71</v>
      </c>
      <c r="Z7" s="155"/>
      <c r="AA7" s="155"/>
      <c r="AB7" s="155"/>
      <c r="AC7" s="155"/>
      <c r="AD7" s="155"/>
      <c r="AE7" s="155"/>
      <c r="AF7" s="155"/>
      <c r="AG7" s="156"/>
      <c r="AI7" s="212" t="s">
        <v>18</v>
      </c>
      <c r="AJ7" s="214" t="s">
        <v>2</v>
      </c>
    </row>
    <row r="8" spans="1:38" ht="15.75" thickBot="1" x14ac:dyDescent="0.3">
      <c r="A8" s="3"/>
      <c r="B8" s="72" t="s">
        <v>0</v>
      </c>
      <c r="C8" s="169" t="s">
        <v>1</v>
      </c>
      <c r="D8" s="170"/>
      <c r="E8" s="171"/>
      <c r="F8" s="172" t="s">
        <v>72</v>
      </c>
      <c r="G8" s="170"/>
      <c r="H8" s="170"/>
      <c r="I8" s="170"/>
      <c r="J8" s="170"/>
      <c r="K8" s="170"/>
      <c r="L8" s="170"/>
      <c r="M8" s="170"/>
      <c r="N8" s="170"/>
      <c r="O8" s="171"/>
      <c r="P8" s="162" t="s">
        <v>73</v>
      </c>
      <c r="Q8" s="163"/>
      <c r="R8" s="163"/>
      <c r="S8" s="163"/>
      <c r="T8" s="163"/>
      <c r="U8" s="163"/>
      <c r="V8" s="163"/>
      <c r="W8" s="164"/>
      <c r="X8" s="97" t="s">
        <v>77</v>
      </c>
      <c r="Y8" s="180" t="s">
        <v>80</v>
      </c>
      <c r="Z8" s="181"/>
      <c r="AA8" s="181"/>
      <c r="AB8" s="182"/>
      <c r="AC8" s="186" t="s">
        <v>75</v>
      </c>
      <c r="AD8" s="186"/>
      <c r="AE8" s="186"/>
      <c r="AF8" s="187"/>
      <c r="AG8" s="98" t="s">
        <v>78</v>
      </c>
      <c r="AI8" s="213" t="s">
        <v>3</v>
      </c>
      <c r="AJ8" s="215"/>
    </row>
    <row r="9" spans="1:38" ht="16.5" thickTop="1" thickBot="1" x14ac:dyDescent="0.3">
      <c r="A9" s="5"/>
      <c r="B9" s="6"/>
      <c r="C9" s="204"/>
      <c r="D9" s="174"/>
      <c r="E9" s="175"/>
      <c r="F9" s="176">
        <v>0.25</v>
      </c>
      <c r="G9" s="177"/>
      <c r="H9" s="177"/>
      <c r="I9" s="177"/>
      <c r="J9" s="177"/>
      <c r="K9" s="177"/>
      <c r="L9" s="177"/>
      <c r="M9" s="178"/>
      <c r="N9" s="178"/>
      <c r="O9" s="179"/>
      <c r="P9" s="165">
        <v>0.35</v>
      </c>
      <c r="Q9" s="166"/>
      <c r="R9" s="166"/>
      <c r="S9" s="166"/>
      <c r="T9" s="166"/>
      <c r="U9" s="166"/>
      <c r="V9" s="166"/>
      <c r="W9" s="167"/>
      <c r="X9" s="96">
        <v>0.6</v>
      </c>
      <c r="Y9" s="183" t="s">
        <v>76</v>
      </c>
      <c r="Z9" s="184"/>
      <c r="AA9" s="184"/>
      <c r="AB9" s="185"/>
      <c r="AC9" s="188">
        <v>0.25</v>
      </c>
      <c r="AD9" s="188"/>
      <c r="AE9" s="188"/>
      <c r="AF9" s="189"/>
      <c r="AG9" s="100">
        <v>0.4</v>
      </c>
      <c r="AI9" s="112">
        <v>1</v>
      </c>
      <c r="AJ9" s="93"/>
    </row>
    <row r="10" spans="1:38" ht="15.75" thickBot="1" x14ac:dyDescent="0.3">
      <c r="A10" s="7"/>
      <c r="B10" s="8"/>
      <c r="C10" s="216">
        <v>5</v>
      </c>
      <c r="D10" s="158"/>
      <c r="E10" s="158"/>
      <c r="F10" s="77">
        <v>50</v>
      </c>
      <c r="G10" s="78">
        <v>50</v>
      </c>
      <c r="H10" s="78">
        <v>50</v>
      </c>
      <c r="I10" s="79"/>
      <c r="J10" s="76"/>
      <c r="K10" s="76"/>
      <c r="L10" s="84"/>
      <c r="M10" s="87">
        <f>SUM(F10:L10)</f>
        <v>150</v>
      </c>
      <c r="N10" s="88">
        <f>(M10/SUM(($F$10:$L$10))*50+50)</f>
        <v>100</v>
      </c>
      <c r="O10" s="89">
        <f>N10*0.25</f>
        <v>25</v>
      </c>
      <c r="P10" s="73">
        <v>50</v>
      </c>
      <c r="Q10" s="74">
        <v>50</v>
      </c>
      <c r="R10" s="74"/>
      <c r="S10" s="75"/>
      <c r="T10" s="75"/>
      <c r="U10" s="95">
        <f>SUM(P10:T10)</f>
        <v>100</v>
      </c>
      <c r="V10" s="101">
        <f>(U10/SUM(($P$10:$T$10))*50+50)</f>
        <v>100</v>
      </c>
      <c r="W10" s="102">
        <f>V10*0.35</f>
        <v>35</v>
      </c>
      <c r="X10" s="103">
        <f>O10+W10</f>
        <v>60</v>
      </c>
      <c r="Y10" s="73">
        <v>100</v>
      </c>
      <c r="Z10" s="104">
        <v>50</v>
      </c>
      <c r="AA10" s="108">
        <f>SUM(Y10:Z10)</f>
        <v>150</v>
      </c>
      <c r="AB10" s="109">
        <f>((AA10/SUM(($Y$10:$Z$10))*50+50)*0.15)</f>
        <v>15</v>
      </c>
      <c r="AC10" s="107">
        <v>50</v>
      </c>
      <c r="AD10" s="80">
        <v>50</v>
      </c>
      <c r="AE10" s="110">
        <f>SUM(AC10:AD10)</f>
        <v>100</v>
      </c>
      <c r="AF10" s="99">
        <f>((AE10/SUM(($AC$10:$AD$10))*50+50)*0.25)</f>
        <v>25</v>
      </c>
      <c r="AG10" s="111">
        <f>AB10+AF10</f>
        <v>40</v>
      </c>
      <c r="AI10" s="45">
        <f>X10+AG10</f>
        <v>100</v>
      </c>
      <c r="AJ10" s="94" t="str">
        <f>IF(AI10&lt;74.5,"FAILED","PASSED")</f>
        <v>PASSED</v>
      </c>
    </row>
    <row r="11" spans="1:38" ht="15.75" thickBot="1" x14ac:dyDescent="0.3">
      <c r="A11" s="10">
        <v>1</v>
      </c>
      <c r="B11" s="122" t="str">
        <f>Attendance!B11</f>
        <v>ASPE. SOPHIA ERICKA PACIENCIA</v>
      </c>
      <c r="C11" s="159">
        <f>Attendance!AH10</f>
        <v>5</v>
      </c>
      <c r="D11" s="160"/>
      <c r="E11" s="161"/>
      <c r="F11" s="58"/>
      <c r="G11" s="51"/>
      <c r="H11" s="52"/>
      <c r="I11" s="53"/>
      <c r="J11" s="54"/>
      <c r="K11" s="50"/>
      <c r="L11" s="85"/>
      <c r="M11" s="90">
        <f t="shared" ref="M11:M49" si="0">SUM(F11:L11)</f>
        <v>0</v>
      </c>
      <c r="N11" s="88">
        <f t="shared" ref="N11:N49" si="1">(M11/SUM(($F$10:$L$10))*50+50)</f>
        <v>50</v>
      </c>
      <c r="O11" s="83">
        <f t="shared" ref="O11:O49" si="2">N11*0.25</f>
        <v>12.5</v>
      </c>
      <c r="P11" s="66"/>
      <c r="Q11" s="55"/>
      <c r="R11" s="55"/>
      <c r="S11" s="56"/>
      <c r="T11" s="56"/>
      <c r="U11" s="95">
        <f t="shared" ref="U11:U49" si="3">SUM(P11:T11)</f>
        <v>0</v>
      </c>
      <c r="V11" s="101">
        <f t="shared" ref="V11:V49" si="4">(U11/SUM(($P$10:$T$10))*50+50)</f>
        <v>50</v>
      </c>
      <c r="W11" s="102">
        <f t="shared" ref="W11:W49" si="5">V11*0.35</f>
        <v>17.5</v>
      </c>
      <c r="X11" s="103">
        <f t="shared" ref="X11:X49" si="6">O11+W11</f>
        <v>30</v>
      </c>
      <c r="Y11" s="66"/>
      <c r="Z11" s="105"/>
      <c r="AA11" s="108">
        <f t="shared" ref="AA11:AA49" si="7">SUM(Y11:Z11)</f>
        <v>0</v>
      </c>
      <c r="AB11" s="109">
        <f t="shared" ref="AB11:AB49" si="8">((AA11/SUM(($Y$10:$Z$10))*50+50)*0.15)</f>
        <v>7.5</v>
      </c>
      <c r="AC11" s="107"/>
      <c r="AD11" s="81"/>
      <c r="AE11" s="110">
        <f t="shared" ref="AE11:AE49" si="9">SUM(AC11:AD11)</f>
        <v>0</v>
      </c>
      <c r="AF11" s="99">
        <f t="shared" ref="AF11:AF49" si="10">((AE11/SUM(($AC$10:$AD$10))*50+50)*0.25)</f>
        <v>12.5</v>
      </c>
      <c r="AG11" s="111">
        <f t="shared" ref="AG11:AG49" si="11">AB11+AF11</f>
        <v>20</v>
      </c>
      <c r="AI11" s="45">
        <f t="shared" ref="AI11:AI49" si="12">X11+AG11</f>
        <v>50</v>
      </c>
      <c r="AJ11" s="94" t="str">
        <f>IF(AI11&lt;74.5,"FAILED","PASSED")</f>
        <v>FAILED</v>
      </c>
    </row>
    <row r="12" spans="1:38" ht="15.75" thickBot="1" x14ac:dyDescent="0.3">
      <c r="A12" s="5">
        <v>2</v>
      </c>
      <c r="B12" s="122" t="str">
        <f>Attendance!B12</f>
        <v>ATONDUCAN. VINCE ASHLEY PAREÑAS</v>
      </c>
      <c r="C12" s="146">
        <f>Attendance!AH11</f>
        <v>0</v>
      </c>
      <c r="D12" s="147"/>
      <c r="E12" s="148"/>
      <c r="F12" s="58"/>
      <c r="G12" s="51"/>
      <c r="H12" s="52"/>
      <c r="I12" s="53"/>
      <c r="J12" s="54"/>
      <c r="K12" s="50"/>
      <c r="L12" s="85"/>
      <c r="M12" s="90">
        <f t="shared" si="0"/>
        <v>0</v>
      </c>
      <c r="N12" s="88">
        <f t="shared" si="1"/>
        <v>50</v>
      </c>
      <c r="O12" s="83">
        <f t="shared" si="2"/>
        <v>12.5</v>
      </c>
      <c r="P12" s="66"/>
      <c r="Q12" s="55"/>
      <c r="R12" s="55"/>
      <c r="S12" s="56"/>
      <c r="T12" s="56"/>
      <c r="U12" s="95">
        <f t="shared" si="3"/>
        <v>0</v>
      </c>
      <c r="V12" s="101">
        <f t="shared" si="4"/>
        <v>50</v>
      </c>
      <c r="W12" s="102">
        <f t="shared" si="5"/>
        <v>17.5</v>
      </c>
      <c r="X12" s="103">
        <f t="shared" si="6"/>
        <v>30</v>
      </c>
      <c r="Y12" s="66"/>
      <c r="Z12" s="105"/>
      <c r="AA12" s="108">
        <f t="shared" si="7"/>
        <v>0</v>
      </c>
      <c r="AB12" s="109">
        <f t="shared" si="8"/>
        <v>7.5</v>
      </c>
      <c r="AC12" s="107"/>
      <c r="AD12" s="81"/>
      <c r="AE12" s="110">
        <f t="shared" si="9"/>
        <v>0</v>
      </c>
      <c r="AF12" s="99">
        <f t="shared" si="10"/>
        <v>12.5</v>
      </c>
      <c r="AG12" s="111">
        <f t="shared" si="11"/>
        <v>20</v>
      </c>
      <c r="AI12" s="45">
        <f t="shared" si="12"/>
        <v>50</v>
      </c>
      <c r="AJ12" s="94" t="str">
        <f t="shared" ref="AJ12:AJ49" si="13">IF(AI12&lt;74.5,"FAILED","PASSED")</f>
        <v>FAILED</v>
      </c>
    </row>
    <row r="13" spans="1:38" ht="15.75" thickBot="1" x14ac:dyDescent="0.3">
      <c r="A13" s="10">
        <v>3</v>
      </c>
      <c r="B13" s="122" t="str">
        <f>Attendance!B13</f>
        <v>BLANCO. KLYDE JANDY SAYNES</v>
      </c>
      <c r="C13" s="146">
        <f>Attendance!AH12</f>
        <v>0</v>
      </c>
      <c r="D13" s="147"/>
      <c r="E13" s="148"/>
      <c r="F13" s="58"/>
      <c r="G13" s="51"/>
      <c r="H13" s="52"/>
      <c r="I13" s="53"/>
      <c r="J13" s="54"/>
      <c r="K13" s="50"/>
      <c r="L13" s="85"/>
      <c r="M13" s="90">
        <f t="shared" si="0"/>
        <v>0</v>
      </c>
      <c r="N13" s="88">
        <f t="shared" si="1"/>
        <v>50</v>
      </c>
      <c r="O13" s="83">
        <f t="shared" si="2"/>
        <v>12.5</v>
      </c>
      <c r="P13" s="66"/>
      <c r="Q13" s="55"/>
      <c r="R13" s="55"/>
      <c r="S13" s="56"/>
      <c r="T13" s="56"/>
      <c r="U13" s="95">
        <f t="shared" si="3"/>
        <v>0</v>
      </c>
      <c r="V13" s="101">
        <f t="shared" si="4"/>
        <v>50</v>
      </c>
      <c r="W13" s="102">
        <f t="shared" si="5"/>
        <v>17.5</v>
      </c>
      <c r="X13" s="103">
        <f t="shared" si="6"/>
        <v>30</v>
      </c>
      <c r="Y13" s="66"/>
      <c r="Z13" s="105"/>
      <c r="AA13" s="108">
        <f t="shared" si="7"/>
        <v>0</v>
      </c>
      <c r="AB13" s="109">
        <f t="shared" si="8"/>
        <v>7.5</v>
      </c>
      <c r="AC13" s="107"/>
      <c r="AD13" s="81"/>
      <c r="AE13" s="110">
        <f t="shared" si="9"/>
        <v>0</v>
      </c>
      <c r="AF13" s="99">
        <f t="shared" si="10"/>
        <v>12.5</v>
      </c>
      <c r="AG13" s="111">
        <f t="shared" si="11"/>
        <v>20</v>
      </c>
      <c r="AI13" s="45">
        <f t="shared" si="12"/>
        <v>50</v>
      </c>
      <c r="AJ13" s="94" t="str">
        <f t="shared" si="13"/>
        <v>FAILED</v>
      </c>
    </row>
    <row r="14" spans="1:38" ht="15.75" thickBot="1" x14ac:dyDescent="0.3">
      <c r="A14" s="5">
        <v>4</v>
      </c>
      <c r="B14" s="122" t="str">
        <f>Attendance!B14</f>
        <v>BORROMEO. HARVEY KENT DUMALAG</v>
      </c>
      <c r="C14" s="146">
        <f>Attendance!AH13</f>
        <v>0</v>
      </c>
      <c r="D14" s="147"/>
      <c r="E14" s="148"/>
      <c r="F14" s="58"/>
      <c r="G14" s="51"/>
      <c r="H14" s="52"/>
      <c r="I14" s="53"/>
      <c r="J14" s="54"/>
      <c r="K14" s="50"/>
      <c r="L14" s="85"/>
      <c r="M14" s="90">
        <f t="shared" si="0"/>
        <v>0</v>
      </c>
      <c r="N14" s="88">
        <f t="shared" si="1"/>
        <v>50</v>
      </c>
      <c r="O14" s="83">
        <f t="shared" si="2"/>
        <v>12.5</v>
      </c>
      <c r="P14" s="66"/>
      <c r="Q14" s="55"/>
      <c r="R14" s="55"/>
      <c r="S14" s="56"/>
      <c r="T14" s="56"/>
      <c r="U14" s="95">
        <f t="shared" si="3"/>
        <v>0</v>
      </c>
      <c r="V14" s="101">
        <f t="shared" si="4"/>
        <v>50</v>
      </c>
      <c r="W14" s="102">
        <f t="shared" si="5"/>
        <v>17.5</v>
      </c>
      <c r="X14" s="103">
        <f t="shared" si="6"/>
        <v>30</v>
      </c>
      <c r="Y14" s="66"/>
      <c r="Z14" s="105"/>
      <c r="AA14" s="108">
        <f t="shared" si="7"/>
        <v>0</v>
      </c>
      <c r="AB14" s="109">
        <f t="shared" si="8"/>
        <v>7.5</v>
      </c>
      <c r="AC14" s="107"/>
      <c r="AD14" s="81"/>
      <c r="AE14" s="110">
        <f t="shared" si="9"/>
        <v>0</v>
      </c>
      <c r="AF14" s="99">
        <f t="shared" si="10"/>
        <v>12.5</v>
      </c>
      <c r="AG14" s="111">
        <f t="shared" si="11"/>
        <v>20</v>
      </c>
      <c r="AI14" s="45">
        <f t="shared" si="12"/>
        <v>50</v>
      </c>
      <c r="AJ14" s="94" t="str">
        <f t="shared" si="13"/>
        <v>FAILED</v>
      </c>
    </row>
    <row r="15" spans="1:38" ht="15.75" thickBot="1" x14ac:dyDescent="0.3">
      <c r="A15" s="10">
        <v>5</v>
      </c>
      <c r="B15" s="122" t="str">
        <f>Attendance!B15</f>
        <v>CABAYA. SOPHIA LOREN JURILLA</v>
      </c>
      <c r="C15" s="146">
        <f>Attendance!AH14</f>
        <v>0</v>
      </c>
      <c r="D15" s="147"/>
      <c r="E15" s="148"/>
      <c r="F15" s="58"/>
      <c r="G15" s="51"/>
      <c r="H15" s="52"/>
      <c r="I15" s="53"/>
      <c r="J15" s="54"/>
      <c r="K15" s="50"/>
      <c r="L15" s="85"/>
      <c r="M15" s="90">
        <f t="shared" si="0"/>
        <v>0</v>
      </c>
      <c r="N15" s="88">
        <f t="shared" si="1"/>
        <v>50</v>
      </c>
      <c r="O15" s="83">
        <f t="shared" si="2"/>
        <v>12.5</v>
      </c>
      <c r="P15" s="66"/>
      <c r="Q15" s="55"/>
      <c r="R15" s="55"/>
      <c r="S15" s="57"/>
      <c r="T15" s="56"/>
      <c r="U15" s="95">
        <f t="shared" si="3"/>
        <v>0</v>
      </c>
      <c r="V15" s="101">
        <f t="shared" si="4"/>
        <v>50</v>
      </c>
      <c r="W15" s="102">
        <f t="shared" si="5"/>
        <v>17.5</v>
      </c>
      <c r="X15" s="103">
        <f t="shared" si="6"/>
        <v>30</v>
      </c>
      <c r="Y15" s="66"/>
      <c r="Z15" s="105"/>
      <c r="AA15" s="108">
        <f t="shared" si="7"/>
        <v>0</v>
      </c>
      <c r="AB15" s="109">
        <f t="shared" si="8"/>
        <v>7.5</v>
      </c>
      <c r="AC15" s="107"/>
      <c r="AD15" s="81"/>
      <c r="AE15" s="110">
        <f t="shared" si="9"/>
        <v>0</v>
      </c>
      <c r="AF15" s="99">
        <f t="shared" si="10"/>
        <v>12.5</v>
      </c>
      <c r="AG15" s="111">
        <f t="shared" si="11"/>
        <v>20</v>
      </c>
      <c r="AI15" s="45">
        <f t="shared" si="12"/>
        <v>50</v>
      </c>
      <c r="AJ15" s="94" t="str">
        <f t="shared" si="13"/>
        <v>FAILED</v>
      </c>
    </row>
    <row r="16" spans="1:38" ht="15.75" thickBot="1" x14ac:dyDescent="0.3">
      <c r="A16" s="5">
        <v>6</v>
      </c>
      <c r="B16" s="122" t="str">
        <f>Attendance!B16</f>
        <v>CASIDA. KIESHA LOU RODRIGUEZ</v>
      </c>
      <c r="C16" s="146">
        <f>Attendance!AH15</f>
        <v>0</v>
      </c>
      <c r="D16" s="147"/>
      <c r="E16" s="148"/>
      <c r="F16" s="58"/>
      <c r="G16" s="51"/>
      <c r="H16" s="52"/>
      <c r="I16" s="53"/>
      <c r="J16" s="54"/>
      <c r="K16" s="50"/>
      <c r="L16" s="85"/>
      <c r="M16" s="90">
        <f t="shared" si="0"/>
        <v>0</v>
      </c>
      <c r="N16" s="88">
        <f t="shared" si="1"/>
        <v>50</v>
      </c>
      <c r="O16" s="83">
        <f t="shared" si="2"/>
        <v>12.5</v>
      </c>
      <c r="P16" s="66"/>
      <c r="Q16" s="55"/>
      <c r="R16" s="55"/>
      <c r="S16" s="57"/>
      <c r="T16" s="56"/>
      <c r="U16" s="95">
        <f t="shared" si="3"/>
        <v>0</v>
      </c>
      <c r="V16" s="101">
        <f t="shared" si="4"/>
        <v>50</v>
      </c>
      <c r="W16" s="102">
        <f t="shared" si="5"/>
        <v>17.5</v>
      </c>
      <c r="X16" s="103">
        <f t="shared" si="6"/>
        <v>30</v>
      </c>
      <c r="Y16" s="66"/>
      <c r="Z16" s="105"/>
      <c r="AA16" s="108">
        <f t="shared" si="7"/>
        <v>0</v>
      </c>
      <c r="AB16" s="109">
        <f t="shared" si="8"/>
        <v>7.5</v>
      </c>
      <c r="AC16" s="107"/>
      <c r="AD16" s="81"/>
      <c r="AE16" s="110">
        <f t="shared" si="9"/>
        <v>0</v>
      </c>
      <c r="AF16" s="99">
        <f t="shared" si="10"/>
        <v>12.5</v>
      </c>
      <c r="AG16" s="111">
        <f t="shared" si="11"/>
        <v>20</v>
      </c>
      <c r="AI16" s="45">
        <f t="shared" si="12"/>
        <v>50</v>
      </c>
      <c r="AJ16" s="94" t="str">
        <f t="shared" si="13"/>
        <v>FAILED</v>
      </c>
    </row>
    <row r="17" spans="1:36" ht="15.75" thickBot="1" x14ac:dyDescent="0.3">
      <c r="A17" s="10">
        <v>7</v>
      </c>
      <c r="B17" s="122" t="str">
        <f>Attendance!B17</f>
        <v>CUARESMA. LOUR DESIREE BAQUERO</v>
      </c>
      <c r="C17" s="146">
        <f>Attendance!AH16</f>
        <v>0</v>
      </c>
      <c r="D17" s="147"/>
      <c r="E17" s="148"/>
      <c r="F17" s="58"/>
      <c r="G17" s="51"/>
      <c r="H17" s="52"/>
      <c r="I17" s="53"/>
      <c r="J17" s="54"/>
      <c r="K17" s="50"/>
      <c r="L17" s="85"/>
      <c r="M17" s="90">
        <f t="shared" si="0"/>
        <v>0</v>
      </c>
      <c r="N17" s="88">
        <f t="shared" si="1"/>
        <v>50</v>
      </c>
      <c r="O17" s="83">
        <f t="shared" si="2"/>
        <v>12.5</v>
      </c>
      <c r="P17" s="66"/>
      <c r="Q17" s="55"/>
      <c r="R17" s="55"/>
      <c r="S17" s="57"/>
      <c r="T17" s="56"/>
      <c r="U17" s="95">
        <f t="shared" si="3"/>
        <v>0</v>
      </c>
      <c r="V17" s="101">
        <f t="shared" si="4"/>
        <v>50</v>
      </c>
      <c r="W17" s="102">
        <f t="shared" si="5"/>
        <v>17.5</v>
      </c>
      <c r="X17" s="103">
        <f t="shared" si="6"/>
        <v>30</v>
      </c>
      <c r="Y17" s="66"/>
      <c r="Z17" s="105"/>
      <c r="AA17" s="108">
        <f t="shared" si="7"/>
        <v>0</v>
      </c>
      <c r="AB17" s="109">
        <f t="shared" si="8"/>
        <v>7.5</v>
      </c>
      <c r="AC17" s="107"/>
      <c r="AD17" s="81"/>
      <c r="AE17" s="110">
        <f t="shared" si="9"/>
        <v>0</v>
      </c>
      <c r="AF17" s="99">
        <f t="shared" si="10"/>
        <v>12.5</v>
      </c>
      <c r="AG17" s="111">
        <f t="shared" si="11"/>
        <v>20</v>
      </c>
      <c r="AI17" s="45">
        <f t="shared" si="12"/>
        <v>50</v>
      </c>
      <c r="AJ17" s="94" t="str">
        <f t="shared" si="13"/>
        <v>FAILED</v>
      </c>
    </row>
    <row r="18" spans="1:36" ht="15.75" thickBot="1" x14ac:dyDescent="0.3">
      <c r="A18" s="5">
        <v>8</v>
      </c>
      <c r="B18" s="122" t="str">
        <f>Attendance!B18</f>
        <v>DETOPEREZ. KNYTZ PANIZALES</v>
      </c>
      <c r="C18" s="146">
        <f>Attendance!AH17</f>
        <v>0</v>
      </c>
      <c r="D18" s="147"/>
      <c r="E18" s="148"/>
      <c r="F18" s="58"/>
      <c r="G18" s="51"/>
      <c r="H18" s="52"/>
      <c r="I18" s="53"/>
      <c r="J18" s="54"/>
      <c r="K18" s="50"/>
      <c r="L18" s="85"/>
      <c r="M18" s="90">
        <f t="shared" si="0"/>
        <v>0</v>
      </c>
      <c r="N18" s="88">
        <f t="shared" si="1"/>
        <v>50</v>
      </c>
      <c r="O18" s="83">
        <f t="shared" si="2"/>
        <v>12.5</v>
      </c>
      <c r="P18" s="66"/>
      <c r="Q18" s="55"/>
      <c r="R18" s="55"/>
      <c r="S18" s="57"/>
      <c r="T18" s="56"/>
      <c r="U18" s="95">
        <f t="shared" si="3"/>
        <v>0</v>
      </c>
      <c r="V18" s="101">
        <f t="shared" si="4"/>
        <v>50</v>
      </c>
      <c r="W18" s="102">
        <f t="shared" si="5"/>
        <v>17.5</v>
      </c>
      <c r="X18" s="103">
        <f t="shared" si="6"/>
        <v>30</v>
      </c>
      <c r="Y18" s="66"/>
      <c r="Z18" s="105"/>
      <c r="AA18" s="108">
        <f t="shared" si="7"/>
        <v>0</v>
      </c>
      <c r="AB18" s="109">
        <f t="shared" si="8"/>
        <v>7.5</v>
      </c>
      <c r="AC18" s="107"/>
      <c r="AD18" s="81"/>
      <c r="AE18" s="110">
        <f t="shared" si="9"/>
        <v>0</v>
      </c>
      <c r="AF18" s="99">
        <f t="shared" si="10"/>
        <v>12.5</v>
      </c>
      <c r="AG18" s="111">
        <f t="shared" si="11"/>
        <v>20</v>
      </c>
      <c r="AI18" s="45">
        <f t="shared" si="12"/>
        <v>50</v>
      </c>
      <c r="AJ18" s="94" t="str">
        <f t="shared" si="13"/>
        <v>FAILED</v>
      </c>
    </row>
    <row r="19" spans="1:36" ht="15.75" thickBot="1" x14ac:dyDescent="0.3">
      <c r="A19" s="10">
        <v>9</v>
      </c>
      <c r="B19" s="122" t="str">
        <f>Attendance!B19</f>
        <v>DOMINGO. ARSENIO JR. DIOLESTE</v>
      </c>
      <c r="C19" s="146">
        <f>Attendance!AH18</f>
        <v>0</v>
      </c>
      <c r="D19" s="147"/>
      <c r="E19" s="148"/>
      <c r="F19" s="58"/>
      <c r="G19" s="51"/>
      <c r="H19" s="52"/>
      <c r="I19" s="53"/>
      <c r="J19" s="54"/>
      <c r="K19" s="50"/>
      <c r="L19" s="85"/>
      <c r="M19" s="90">
        <f t="shared" si="0"/>
        <v>0</v>
      </c>
      <c r="N19" s="88">
        <f t="shared" si="1"/>
        <v>50</v>
      </c>
      <c r="O19" s="83">
        <f t="shared" si="2"/>
        <v>12.5</v>
      </c>
      <c r="P19" s="66"/>
      <c r="Q19" s="55"/>
      <c r="R19" s="55"/>
      <c r="S19" s="57"/>
      <c r="T19" s="56"/>
      <c r="U19" s="95">
        <f t="shared" si="3"/>
        <v>0</v>
      </c>
      <c r="V19" s="101">
        <f t="shared" si="4"/>
        <v>50</v>
      </c>
      <c r="W19" s="102">
        <f t="shared" si="5"/>
        <v>17.5</v>
      </c>
      <c r="X19" s="103">
        <f t="shared" si="6"/>
        <v>30</v>
      </c>
      <c r="Y19" s="66"/>
      <c r="Z19" s="105"/>
      <c r="AA19" s="108">
        <f t="shared" si="7"/>
        <v>0</v>
      </c>
      <c r="AB19" s="109">
        <f t="shared" si="8"/>
        <v>7.5</v>
      </c>
      <c r="AC19" s="107"/>
      <c r="AD19" s="81"/>
      <c r="AE19" s="110">
        <f t="shared" si="9"/>
        <v>0</v>
      </c>
      <c r="AF19" s="99">
        <f t="shared" si="10"/>
        <v>12.5</v>
      </c>
      <c r="AG19" s="111">
        <f t="shared" si="11"/>
        <v>20</v>
      </c>
      <c r="AI19" s="45">
        <f t="shared" si="12"/>
        <v>50</v>
      </c>
      <c r="AJ19" s="94" t="str">
        <f t="shared" si="13"/>
        <v>FAILED</v>
      </c>
    </row>
    <row r="20" spans="1:36" ht="15.75" thickBot="1" x14ac:dyDescent="0.3">
      <c r="A20" s="5">
        <v>10</v>
      </c>
      <c r="B20" s="122" t="str">
        <f>Attendance!B20</f>
        <v>ESCANDA. ETHAN GABRIEL BERNALDEZ</v>
      </c>
      <c r="C20" s="146">
        <f>Attendance!AH19</f>
        <v>0</v>
      </c>
      <c r="D20" s="147"/>
      <c r="E20" s="148"/>
      <c r="F20" s="58"/>
      <c r="G20" s="51"/>
      <c r="H20" s="52"/>
      <c r="I20" s="53"/>
      <c r="J20" s="54"/>
      <c r="K20" s="50"/>
      <c r="L20" s="85"/>
      <c r="M20" s="90">
        <f t="shared" si="0"/>
        <v>0</v>
      </c>
      <c r="N20" s="88">
        <f t="shared" si="1"/>
        <v>50</v>
      </c>
      <c r="O20" s="83">
        <f t="shared" si="2"/>
        <v>12.5</v>
      </c>
      <c r="P20" s="66"/>
      <c r="Q20" s="55"/>
      <c r="R20" s="55"/>
      <c r="S20" s="57"/>
      <c r="T20" s="56"/>
      <c r="U20" s="95">
        <f t="shared" si="3"/>
        <v>0</v>
      </c>
      <c r="V20" s="101">
        <f t="shared" si="4"/>
        <v>50</v>
      </c>
      <c r="W20" s="102">
        <f t="shared" si="5"/>
        <v>17.5</v>
      </c>
      <c r="X20" s="103">
        <f t="shared" si="6"/>
        <v>30</v>
      </c>
      <c r="Y20" s="66"/>
      <c r="Z20" s="105"/>
      <c r="AA20" s="108">
        <f t="shared" si="7"/>
        <v>0</v>
      </c>
      <c r="AB20" s="109">
        <f t="shared" si="8"/>
        <v>7.5</v>
      </c>
      <c r="AC20" s="107"/>
      <c r="AD20" s="81"/>
      <c r="AE20" s="110">
        <f t="shared" si="9"/>
        <v>0</v>
      </c>
      <c r="AF20" s="99">
        <f t="shared" si="10"/>
        <v>12.5</v>
      </c>
      <c r="AG20" s="111">
        <f t="shared" si="11"/>
        <v>20</v>
      </c>
      <c r="AI20" s="45">
        <f t="shared" si="12"/>
        <v>50</v>
      </c>
      <c r="AJ20" s="94" t="str">
        <f t="shared" si="13"/>
        <v>FAILED</v>
      </c>
    </row>
    <row r="21" spans="1:36" ht="15.75" thickBot="1" x14ac:dyDescent="0.3">
      <c r="A21" s="10">
        <v>11</v>
      </c>
      <c r="B21" s="122" t="str">
        <f>Attendance!B21</f>
        <v>GENTERONE. LYCCA MAY PODADOR</v>
      </c>
      <c r="C21" s="146">
        <f>Attendance!AH20</f>
        <v>0</v>
      </c>
      <c r="D21" s="147"/>
      <c r="E21" s="148"/>
      <c r="F21" s="58"/>
      <c r="G21" s="51"/>
      <c r="H21" s="52"/>
      <c r="I21" s="53"/>
      <c r="J21" s="54"/>
      <c r="K21" s="50"/>
      <c r="L21" s="85"/>
      <c r="M21" s="90">
        <f t="shared" si="0"/>
        <v>0</v>
      </c>
      <c r="N21" s="88">
        <f t="shared" si="1"/>
        <v>50</v>
      </c>
      <c r="O21" s="83">
        <f t="shared" si="2"/>
        <v>12.5</v>
      </c>
      <c r="P21" s="66"/>
      <c r="Q21" s="55"/>
      <c r="R21" s="55"/>
      <c r="S21" s="57"/>
      <c r="T21" s="56"/>
      <c r="U21" s="95">
        <f t="shared" si="3"/>
        <v>0</v>
      </c>
      <c r="V21" s="101">
        <f t="shared" si="4"/>
        <v>50</v>
      </c>
      <c r="W21" s="102">
        <f t="shared" si="5"/>
        <v>17.5</v>
      </c>
      <c r="X21" s="103">
        <f t="shared" si="6"/>
        <v>30</v>
      </c>
      <c r="Y21" s="66"/>
      <c r="Z21" s="105"/>
      <c r="AA21" s="108">
        <f t="shared" si="7"/>
        <v>0</v>
      </c>
      <c r="AB21" s="109">
        <f t="shared" si="8"/>
        <v>7.5</v>
      </c>
      <c r="AC21" s="107"/>
      <c r="AD21" s="81"/>
      <c r="AE21" s="110">
        <f t="shared" si="9"/>
        <v>0</v>
      </c>
      <c r="AF21" s="99">
        <f t="shared" si="10"/>
        <v>12.5</v>
      </c>
      <c r="AG21" s="111">
        <f t="shared" si="11"/>
        <v>20</v>
      </c>
      <c r="AI21" s="45">
        <f t="shared" si="12"/>
        <v>50</v>
      </c>
      <c r="AJ21" s="94" t="str">
        <f t="shared" si="13"/>
        <v>FAILED</v>
      </c>
    </row>
    <row r="22" spans="1:36" ht="15.75" thickBot="1" x14ac:dyDescent="0.3">
      <c r="A22" s="5">
        <v>12</v>
      </c>
      <c r="B22" s="122" t="str">
        <f>Attendance!B22</f>
        <v>HITONES. APPLE ANDREA SU-AY</v>
      </c>
      <c r="C22" s="146">
        <f>Attendance!AH21</f>
        <v>0</v>
      </c>
      <c r="D22" s="147"/>
      <c r="E22" s="148"/>
      <c r="F22" s="58"/>
      <c r="G22" s="51"/>
      <c r="H22" s="52"/>
      <c r="I22" s="53"/>
      <c r="J22" s="54"/>
      <c r="K22" s="50"/>
      <c r="L22" s="85"/>
      <c r="M22" s="90">
        <f t="shared" si="0"/>
        <v>0</v>
      </c>
      <c r="N22" s="88">
        <f t="shared" si="1"/>
        <v>50</v>
      </c>
      <c r="O22" s="83">
        <f t="shared" si="2"/>
        <v>12.5</v>
      </c>
      <c r="P22" s="66"/>
      <c r="Q22" s="55"/>
      <c r="R22" s="55"/>
      <c r="S22" s="57"/>
      <c r="T22" s="56"/>
      <c r="U22" s="95">
        <f t="shared" si="3"/>
        <v>0</v>
      </c>
      <c r="V22" s="101">
        <f t="shared" si="4"/>
        <v>50</v>
      </c>
      <c r="W22" s="102">
        <f t="shared" si="5"/>
        <v>17.5</v>
      </c>
      <c r="X22" s="103">
        <f t="shared" si="6"/>
        <v>30</v>
      </c>
      <c r="Y22" s="66"/>
      <c r="Z22" s="105"/>
      <c r="AA22" s="108">
        <f t="shared" si="7"/>
        <v>0</v>
      </c>
      <c r="AB22" s="109">
        <f t="shared" si="8"/>
        <v>7.5</v>
      </c>
      <c r="AC22" s="107"/>
      <c r="AD22" s="81"/>
      <c r="AE22" s="110">
        <f t="shared" si="9"/>
        <v>0</v>
      </c>
      <c r="AF22" s="99">
        <f t="shared" si="10"/>
        <v>12.5</v>
      </c>
      <c r="AG22" s="111">
        <f t="shared" si="11"/>
        <v>20</v>
      </c>
      <c r="AI22" s="45">
        <f t="shared" si="12"/>
        <v>50</v>
      </c>
      <c r="AJ22" s="94" t="str">
        <f t="shared" si="13"/>
        <v>FAILED</v>
      </c>
    </row>
    <row r="23" spans="1:36" ht="15.75" thickBot="1" x14ac:dyDescent="0.3">
      <c r="A23" s="10">
        <v>13</v>
      </c>
      <c r="B23" s="122" t="str">
        <f>Attendance!B23</f>
        <v>ILISAN. JOHN PAUL PAGDATO</v>
      </c>
      <c r="C23" s="146">
        <f>Attendance!AH22</f>
        <v>0</v>
      </c>
      <c r="D23" s="147"/>
      <c r="E23" s="148"/>
      <c r="F23" s="58"/>
      <c r="G23" s="51"/>
      <c r="H23" s="52"/>
      <c r="I23" s="53"/>
      <c r="J23" s="54"/>
      <c r="K23" s="50"/>
      <c r="L23" s="85"/>
      <c r="M23" s="90">
        <f t="shared" si="0"/>
        <v>0</v>
      </c>
      <c r="N23" s="88">
        <f t="shared" si="1"/>
        <v>50</v>
      </c>
      <c r="O23" s="83">
        <f t="shared" si="2"/>
        <v>12.5</v>
      </c>
      <c r="P23" s="66"/>
      <c r="Q23" s="55"/>
      <c r="R23" s="55"/>
      <c r="S23" s="57"/>
      <c r="T23" s="56"/>
      <c r="U23" s="95">
        <f t="shared" si="3"/>
        <v>0</v>
      </c>
      <c r="V23" s="101">
        <f t="shared" si="4"/>
        <v>50</v>
      </c>
      <c r="W23" s="102">
        <f t="shared" si="5"/>
        <v>17.5</v>
      </c>
      <c r="X23" s="103">
        <f t="shared" si="6"/>
        <v>30</v>
      </c>
      <c r="Y23" s="66"/>
      <c r="Z23" s="105"/>
      <c r="AA23" s="108">
        <f t="shared" si="7"/>
        <v>0</v>
      </c>
      <c r="AB23" s="109">
        <f t="shared" si="8"/>
        <v>7.5</v>
      </c>
      <c r="AC23" s="107"/>
      <c r="AD23" s="81"/>
      <c r="AE23" s="110">
        <f t="shared" si="9"/>
        <v>0</v>
      </c>
      <c r="AF23" s="99">
        <f t="shared" si="10"/>
        <v>12.5</v>
      </c>
      <c r="AG23" s="111">
        <f t="shared" si="11"/>
        <v>20</v>
      </c>
      <c r="AI23" s="45">
        <f t="shared" si="12"/>
        <v>50</v>
      </c>
      <c r="AJ23" s="94" t="str">
        <f t="shared" si="13"/>
        <v>FAILED</v>
      </c>
    </row>
    <row r="24" spans="1:36" ht="15.75" thickBot="1" x14ac:dyDescent="0.3">
      <c r="A24" s="5">
        <v>14</v>
      </c>
      <c r="B24" s="122" t="str">
        <f>Attendance!B24</f>
        <v>JABAN. GABRIEL JAY JORNADAL</v>
      </c>
      <c r="C24" s="146">
        <f>Attendance!AH23</f>
        <v>0</v>
      </c>
      <c r="D24" s="147"/>
      <c r="E24" s="148"/>
      <c r="F24" s="58"/>
      <c r="G24" s="51"/>
      <c r="H24" s="52"/>
      <c r="I24" s="53"/>
      <c r="J24" s="54"/>
      <c r="K24" s="50"/>
      <c r="L24" s="85"/>
      <c r="M24" s="90">
        <f t="shared" si="0"/>
        <v>0</v>
      </c>
      <c r="N24" s="88">
        <f t="shared" si="1"/>
        <v>50</v>
      </c>
      <c r="O24" s="83">
        <f t="shared" si="2"/>
        <v>12.5</v>
      </c>
      <c r="P24" s="66"/>
      <c r="Q24" s="55"/>
      <c r="R24" s="55"/>
      <c r="S24" s="57"/>
      <c r="T24" s="56"/>
      <c r="U24" s="95">
        <f t="shared" si="3"/>
        <v>0</v>
      </c>
      <c r="V24" s="101">
        <f t="shared" si="4"/>
        <v>50</v>
      </c>
      <c r="W24" s="102">
        <f t="shared" si="5"/>
        <v>17.5</v>
      </c>
      <c r="X24" s="103">
        <f t="shared" si="6"/>
        <v>30</v>
      </c>
      <c r="Y24" s="66"/>
      <c r="Z24" s="105"/>
      <c r="AA24" s="108">
        <f t="shared" si="7"/>
        <v>0</v>
      </c>
      <c r="AB24" s="109">
        <f t="shared" si="8"/>
        <v>7.5</v>
      </c>
      <c r="AC24" s="107"/>
      <c r="AD24" s="81"/>
      <c r="AE24" s="110">
        <f t="shared" si="9"/>
        <v>0</v>
      </c>
      <c r="AF24" s="99">
        <f t="shared" si="10"/>
        <v>12.5</v>
      </c>
      <c r="AG24" s="111">
        <f t="shared" si="11"/>
        <v>20</v>
      </c>
      <c r="AI24" s="45">
        <f t="shared" si="12"/>
        <v>50</v>
      </c>
      <c r="AJ24" s="94" t="str">
        <f t="shared" si="13"/>
        <v>FAILED</v>
      </c>
    </row>
    <row r="25" spans="1:36" ht="15.75" thickBot="1" x14ac:dyDescent="0.3">
      <c r="A25" s="10">
        <v>15</v>
      </c>
      <c r="B25" s="122" t="str">
        <f>Attendance!B25</f>
        <v>JACULINA. KRIZEL JOY AMULAR</v>
      </c>
      <c r="C25" s="146">
        <f>Attendance!AH24</f>
        <v>0</v>
      </c>
      <c r="D25" s="147"/>
      <c r="E25" s="148"/>
      <c r="F25" s="58"/>
      <c r="G25" s="51"/>
      <c r="H25" s="52"/>
      <c r="I25" s="53"/>
      <c r="J25" s="54"/>
      <c r="K25" s="50"/>
      <c r="L25" s="85"/>
      <c r="M25" s="90">
        <f t="shared" si="0"/>
        <v>0</v>
      </c>
      <c r="N25" s="88">
        <f t="shared" si="1"/>
        <v>50</v>
      </c>
      <c r="O25" s="83">
        <f t="shared" si="2"/>
        <v>12.5</v>
      </c>
      <c r="P25" s="66"/>
      <c r="Q25" s="55"/>
      <c r="R25" s="55"/>
      <c r="S25" s="57"/>
      <c r="T25" s="56"/>
      <c r="U25" s="95">
        <f t="shared" si="3"/>
        <v>0</v>
      </c>
      <c r="V25" s="101">
        <f t="shared" si="4"/>
        <v>50</v>
      </c>
      <c r="W25" s="102">
        <f t="shared" si="5"/>
        <v>17.5</v>
      </c>
      <c r="X25" s="103">
        <f t="shared" si="6"/>
        <v>30</v>
      </c>
      <c r="Y25" s="66"/>
      <c r="Z25" s="105"/>
      <c r="AA25" s="108">
        <f t="shared" si="7"/>
        <v>0</v>
      </c>
      <c r="AB25" s="109">
        <f t="shared" si="8"/>
        <v>7.5</v>
      </c>
      <c r="AC25" s="107"/>
      <c r="AD25" s="81"/>
      <c r="AE25" s="110">
        <f t="shared" si="9"/>
        <v>0</v>
      </c>
      <c r="AF25" s="99">
        <f t="shared" si="10"/>
        <v>12.5</v>
      </c>
      <c r="AG25" s="111">
        <f t="shared" si="11"/>
        <v>20</v>
      </c>
      <c r="AI25" s="45">
        <f t="shared" si="12"/>
        <v>50</v>
      </c>
      <c r="AJ25" s="94" t="str">
        <f t="shared" si="13"/>
        <v>FAILED</v>
      </c>
    </row>
    <row r="26" spans="1:36" ht="15.75" thickBot="1" x14ac:dyDescent="0.3">
      <c r="A26" s="5">
        <v>16</v>
      </c>
      <c r="B26" s="122" t="str">
        <f>Attendance!B26</f>
        <v>LANGOTE. JAMELA FAYE SORBITO</v>
      </c>
      <c r="C26" s="146">
        <f>Attendance!AH25</f>
        <v>0</v>
      </c>
      <c r="D26" s="147"/>
      <c r="E26" s="148"/>
      <c r="F26" s="58"/>
      <c r="G26" s="51"/>
      <c r="H26" s="52"/>
      <c r="I26" s="53"/>
      <c r="J26" s="54"/>
      <c r="K26" s="50"/>
      <c r="L26" s="85"/>
      <c r="M26" s="90">
        <f t="shared" si="0"/>
        <v>0</v>
      </c>
      <c r="N26" s="88">
        <f t="shared" si="1"/>
        <v>50</v>
      </c>
      <c r="O26" s="83">
        <f t="shared" si="2"/>
        <v>12.5</v>
      </c>
      <c r="P26" s="66"/>
      <c r="Q26" s="55"/>
      <c r="R26" s="55"/>
      <c r="S26" s="57"/>
      <c r="T26" s="56"/>
      <c r="U26" s="95">
        <f t="shared" si="3"/>
        <v>0</v>
      </c>
      <c r="V26" s="101">
        <f t="shared" si="4"/>
        <v>50</v>
      </c>
      <c r="W26" s="102">
        <f t="shared" si="5"/>
        <v>17.5</v>
      </c>
      <c r="X26" s="103">
        <f t="shared" si="6"/>
        <v>30</v>
      </c>
      <c r="Y26" s="66"/>
      <c r="Z26" s="105"/>
      <c r="AA26" s="108">
        <f t="shared" si="7"/>
        <v>0</v>
      </c>
      <c r="AB26" s="109">
        <f t="shared" si="8"/>
        <v>7.5</v>
      </c>
      <c r="AC26" s="107"/>
      <c r="AD26" s="81"/>
      <c r="AE26" s="110">
        <f t="shared" si="9"/>
        <v>0</v>
      </c>
      <c r="AF26" s="99">
        <f t="shared" si="10"/>
        <v>12.5</v>
      </c>
      <c r="AG26" s="111">
        <f t="shared" si="11"/>
        <v>20</v>
      </c>
      <c r="AI26" s="45">
        <f t="shared" si="12"/>
        <v>50</v>
      </c>
      <c r="AJ26" s="94" t="str">
        <f t="shared" si="13"/>
        <v>FAILED</v>
      </c>
    </row>
    <row r="27" spans="1:36" ht="15.75" thickBot="1" x14ac:dyDescent="0.3">
      <c r="A27" s="10">
        <v>17</v>
      </c>
      <c r="B27" s="122" t="str">
        <f>Attendance!B27</f>
        <v>MAGDUGO. BHE JAY PANGANIBAN</v>
      </c>
      <c r="C27" s="146">
        <f>Attendance!AH26</f>
        <v>0</v>
      </c>
      <c r="D27" s="147"/>
      <c r="E27" s="148"/>
      <c r="F27" s="58"/>
      <c r="G27" s="51"/>
      <c r="H27" s="52"/>
      <c r="I27" s="53"/>
      <c r="J27" s="54"/>
      <c r="K27" s="50"/>
      <c r="L27" s="85"/>
      <c r="M27" s="90">
        <f t="shared" si="0"/>
        <v>0</v>
      </c>
      <c r="N27" s="88">
        <f t="shared" si="1"/>
        <v>50</v>
      </c>
      <c r="O27" s="83">
        <f t="shared" si="2"/>
        <v>12.5</v>
      </c>
      <c r="P27" s="66"/>
      <c r="Q27" s="55"/>
      <c r="R27" s="55"/>
      <c r="S27" s="57"/>
      <c r="T27" s="56"/>
      <c r="U27" s="95">
        <f t="shared" si="3"/>
        <v>0</v>
      </c>
      <c r="V27" s="101">
        <f t="shared" si="4"/>
        <v>50</v>
      </c>
      <c r="W27" s="102">
        <f t="shared" si="5"/>
        <v>17.5</v>
      </c>
      <c r="X27" s="103">
        <f t="shared" si="6"/>
        <v>30</v>
      </c>
      <c r="Y27" s="66"/>
      <c r="Z27" s="105"/>
      <c r="AA27" s="108">
        <f t="shared" si="7"/>
        <v>0</v>
      </c>
      <c r="AB27" s="109">
        <f t="shared" si="8"/>
        <v>7.5</v>
      </c>
      <c r="AC27" s="107"/>
      <c r="AD27" s="81"/>
      <c r="AE27" s="110">
        <f t="shared" si="9"/>
        <v>0</v>
      </c>
      <c r="AF27" s="99">
        <f t="shared" si="10"/>
        <v>12.5</v>
      </c>
      <c r="AG27" s="111">
        <f t="shared" si="11"/>
        <v>20</v>
      </c>
      <c r="AI27" s="45">
        <f t="shared" si="12"/>
        <v>50</v>
      </c>
      <c r="AJ27" s="94" t="str">
        <f t="shared" si="13"/>
        <v>FAILED</v>
      </c>
    </row>
    <row r="28" spans="1:36" ht="15.75" thickBot="1" x14ac:dyDescent="0.3">
      <c r="A28" s="5">
        <v>18</v>
      </c>
      <c r="B28" s="122" t="str">
        <f>Attendance!B28</f>
        <v>MARIANO. ERICKA MAE BALUCA</v>
      </c>
      <c r="C28" s="146">
        <f>Attendance!AH27</f>
        <v>0</v>
      </c>
      <c r="D28" s="147"/>
      <c r="E28" s="148"/>
      <c r="F28" s="58"/>
      <c r="G28" s="51"/>
      <c r="H28" s="52"/>
      <c r="I28" s="53"/>
      <c r="J28" s="54"/>
      <c r="K28" s="50"/>
      <c r="L28" s="85"/>
      <c r="M28" s="90">
        <f t="shared" si="0"/>
        <v>0</v>
      </c>
      <c r="N28" s="88">
        <f t="shared" si="1"/>
        <v>50</v>
      </c>
      <c r="O28" s="83">
        <f t="shared" si="2"/>
        <v>12.5</v>
      </c>
      <c r="P28" s="66"/>
      <c r="Q28" s="55"/>
      <c r="R28" s="55"/>
      <c r="S28" s="57"/>
      <c r="T28" s="56"/>
      <c r="U28" s="95">
        <f t="shared" si="3"/>
        <v>0</v>
      </c>
      <c r="V28" s="101">
        <f t="shared" si="4"/>
        <v>50</v>
      </c>
      <c r="W28" s="102">
        <f t="shared" si="5"/>
        <v>17.5</v>
      </c>
      <c r="X28" s="103">
        <f t="shared" si="6"/>
        <v>30</v>
      </c>
      <c r="Y28" s="66"/>
      <c r="Z28" s="105"/>
      <c r="AA28" s="108">
        <f t="shared" si="7"/>
        <v>0</v>
      </c>
      <c r="AB28" s="109">
        <f t="shared" si="8"/>
        <v>7.5</v>
      </c>
      <c r="AC28" s="107"/>
      <c r="AD28" s="81"/>
      <c r="AE28" s="110">
        <f t="shared" si="9"/>
        <v>0</v>
      </c>
      <c r="AF28" s="99">
        <f t="shared" si="10"/>
        <v>12.5</v>
      </c>
      <c r="AG28" s="111">
        <f t="shared" si="11"/>
        <v>20</v>
      </c>
      <c r="AI28" s="45">
        <f t="shared" si="12"/>
        <v>50</v>
      </c>
      <c r="AJ28" s="94" t="str">
        <f t="shared" si="13"/>
        <v>FAILED</v>
      </c>
    </row>
    <row r="29" spans="1:36" ht="15.75" thickBot="1" x14ac:dyDescent="0.3">
      <c r="A29" s="10">
        <v>19</v>
      </c>
      <c r="B29" s="122" t="str">
        <f>Attendance!B29</f>
        <v>MATULAC. JEREMIE LAÑOJAN</v>
      </c>
      <c r="C29" s="146">
        <f>Attendance!AH28</f>
        <v>0</v>
      </c>
      <c r="D29" s="147"/>
      <c r="E29" s="148"/>
      <c r="F29" s="58"/>
      <c r="G29" s="51"/>
      <c r="H29" s="52"/>
      <c r="I29" s="53"/>
      <c r="J29" s="54"/>
      <c r="K29" s="50"/>
      <c r="L29" s="85"/>
      <c r="M29" s="90">
        <f t="shared" si="0"/>
        <v>0</v>
      </c>
      <c r="N29" s="88">
        <f t="shared" si="1"/>
        <v>50</v>
      </c>
      <c r="O29" s="83">
        <f t="shared" si="2"/>
        <v>12.5</v>
      </c>
      <c r="P29" s="67"/>
      <c r="Q29" s="68"/>
      <c r="R29" s="68"/>
      <c r="S29" s="68"/>
      <c r="T29" s="68"/>
      <c r="U29" s="95">
        <f t="shared" si="3"/>
        <v>0</v>
      </c>
      <c r="V29" s="101">
        <f t="shared" si="4"/>
        <v>50</v>
      </c>
      <c r="W29" s="102">
        <f t="shared" si="5"/>
        <v>17.5</v>
      </c>
      <c r="X29" s="103">
        <f t="shared" si="6"/>
        <v>30</v>
      </c>
      <c r="Y29" s="67"/>
      <c r="Z29" s="105"/>
      <c r="AA29" s="108">
        <f t="shared" si="7"/>
        <v>0</v>
      </c>
      <c r="AB29" s="109">
        <f t="shared" si="8"/>
        <v>7.5</v>
      </c>
      <c r="AC29" s="107"/>
      <c r="AD29" s="81"/>
      <c r="AE29" s="110">
        <f t="shared" si="9"/>
        <v>0</v>
      </c>
      <c r="AF29" s="99">
        <f t="shared" si="10"/>
        <v>12.5</v>
      </c>
      <c r="AG29" s="111">
        <f t="shared" si="11"/>
        <v>20</v>
      </c>
      <c r="AI29" s="45">
        <f t="shared" si="12"/>
        <v>50</v>
      </c>
      <c r="AJ29" s="94" t="str">
        <f t="shared" si="13"/>
        <v>FAILED</v>
      </c>
    </row>
    <row r="30" spans="1:36" ht="15.75" thickBot="1" x14ac:dyDescent="0.3">
      <c r="A30" s="5">
        <v>20</v>
      </c>
      <c r="B30" s="122" t="str">
        <f>Attendance!B30</f>
        <v>NASA. GEN FLORENCE NELLAS</v>
      </c>
      <c r="C30" s="146">
        <f>Attendance!AH29</f>
        <v>0</v>
      </c>
      <c r="D30" s="147"/>
      <c r="E30" s="148"/>
      <c r="F30" s="58"/>
      <c r="G30" s="51"/>
      <c r="H30" s="52"/>
      <c r="I30" s="53"/>
      <c r="J30" s="54"/>
      <c r="K30" s="50"/>
      <c r="L30" s="85"/>
      <c r="M30" s="90">
        <f t="shared" si="0"/>
        <v>0</v>
      </c>
      <c r="N30" s="88">
        <f t="shared" si="1"/>
        <v>50</v>
      </c>
      <c r="O30" s="83">
        <f t="shared" si="2"/>
        <v>12.5</v>
      </c>
      <c r="P30" s="66"/>
      <c r="Q30" s="54"/>
      <c r="R30" s="54"/>
      <c r="S30" s="57"/>
      <c r="T30" s="56"/>
      <c r="U30" s="95">
        <f t="shared" si="3"/>
        <v>0</v>
      </c>
      <c r="V30" s="101">
        <f t="shared" si="4"/>
        <v>50</v>
      </c>
      <c r="W30" s="102">
        <f t="shared" si="5"/>
        <v>17.5</v>
      </c>
      <c r="X30" s="103">
        <f t="shared" si="6"/>
        <v>30</v>
      </c>
      <c r="Y30" s="66"/>
      <c r="Z30" s="105"/>
      <c r="AA30" s="108">
        <f t="shared" si="7"/>
        <v>0</v>
      </c>
      <c r="AB30" s="109">
        <f t="shared" si="8"/>
        <v>7.5</v>
      </c>
      <c r="AC30" s="107"/>
      <c r="AD30" s="81"/>
      <c r="AE30" s="110">
        <f t="shared" si="9"/>
        <v>0</v>
      </c>
      <c r="AF30" s="99">
        <f t="shared" si="10"/>
        <v>12.5</v>
      </c>
      <c r="AG30" s="111">
        <f t="shared" si="11"/>
        <v>20</v>
      </c>
      <c r="AI30" s="45">
        <f t="shared" si="12"/>
        <v>50</v>
      </c>
      <c r="AJ30" s="94" t="str">
        <f t="shared" si="13"/>
        <v>FAILED</v>
      </c>
    </row>
    <row r="31" spans="1:36" ht="15.75" thickBot="1" x14ac:dyDescent="0.3">
      <c r="A31" s="10">
        <v>21</v>
      </c>
      <c r="B31" s="122" t="str">
        <f>Attendance!B31</f>
        <v>ONEZ. CHRISTIAN JAY PATINIO</v>
      </c>
      <c r="C31" s="146">
        <f>Attendance!AH30</f>
        <v>0</v>
      </c>
      <c r="D31" s="147"/>
      <c r="E31" s="148"/>
      <c r="F31" s="58"/>
      <c r="G31" s="51"/>
      <c r="H31" s="52"/>
      <c r="I31" s="53"/>
      <c r="J31" s="54"/>
      <c r="K31" s="50"/>
      <c r="L31" s="85"/>
      <c r="M31" s="90">
        <f t="shared" si="0"/>
        <v>0</v>
      </c>
      <c r="N31" s="88">
        <f t="shared" si="1"/>
        <v>50</v>
      </c>
      <c r="O31" s="83">
        <f t="shared" si="2"/>
        <v>12.5</v>
      </c>
      <c r="P31" s="67"/>
      <c r="Q31" s="68"/>
      <c r="R31" s="68"/>
      <c r="S31" s="68"/>
      <c r="T31" s="68"/>
      <c r="U31" s="95">
        <f t="shared" si="3"/>
        <v>0</v>
      </c>
      <c r="V31" s="101">
        <f t="shared" si="4"/>
        <v>50</v>
      </c>
      <c r="W31" s="102">
        <f t="shared" si="5"/>
        <v>17.5</v>
      </c>
      <c r="X31" s="103">
        <f t="shared" si="6"/>
        <v>30</v>
      </c>
      <c r="Y31" s="67"/>
      <c r="Z31" s="105"/>
      <c r="AA31" s="108">
        <f t="shared" si="7"/>
        <v>0</v>
      </c>
      <c r="AB31" s="109">
        <f t="shared" si="8"/>
        <v>7.5</v>
      </c>
      <c r="AC31" s="107"/>
      <c r="AD31" s="81"/>
      <c r="AE31" s="110">
        <f t="shared" si="9"/>
        <v>0</v>
      </c>
      <c r="AF31" s="99">
        <f t="shared" si="10"/>
        <v>12.5</v>
      </c>
      <c r="AG31" s="111">
        <f t="shared" si="11"/>
        <v>20</v>
      </c>
      <c r="AI31" s="45">
        <f t="shared" si="12"/>
        <v>50</v>
      </c>
      <c r="AJ31" s="94" t="str">
        <f t="shared" si="13"/>
        <v>FAILED</v>
      </c>
    </row>
    <row r="32" spans="1:36" ht="15.75" thickBot="1" x14ac:dyDescent="0.3">
      <c r="A32" s="5">
        <v>22</v>
      </c>
      <c r="B32" s="122" t="str">
        <f>Attendance!B32</f>
        <v>PADILLO. KIRK HILARY MOTAO</v>
      </c>
      <c r="C32" s="146">
        <f>Attendance!AH31</f>
        <v>0</v>
      </c>
      <c r="D32" s="147"/>
      <c r="E32" s="148"/>
      <c r="F32" s="58"/>
      <c r="G32" s="51"/>
      <c r="H32" s="52"/>
      <c r="I32" s="53"/>
      <c r="J32" s="54"/>
      <c r="K32" s="50"/>
      <c r="L32" s="85"/>
      <c r="M32" s="90">
        <f t="shared" si="0"/>
        <v>0</v>
      </c>
      <c r="N32" s="88">
        <f t="shared" si="1"/>
        <v>50</v>
      </c>
      <c r="O32" s="83">
        <f t="shared" si="2"/>
        <v>12.5</v>
      </c>
      <c r="P32" s="66"/>
      <c r="Q32" s="54"/>
      <c r="R32" s="54"/>
      <c r="S32" s="57"/>
      <c r="T32" s="56"/>
      <c r="U32" s="95">
        <f t="shared" si="3"/>
        <v>0</v>
      </c>
      <c r="V32" s="101">
        <f t="shared" si="4"/>
        <v>50</v>
      </c>
      <c r="W32" s="102">
        <f t="shared" si="5"/>
        <v>17.5</v>
      </c>
      <c r="X32" s="103">
        <f t="shared" si="6"/>
        <v>30</v>
      </c>
      <c r="Y32" s="66"/>
      <c r="Z32" s="105"/>
      <c r="AA32" s="108">
        <f t="shared" si="7"/>
        <v>0</v>
      </c>
      <c r="AB32" s="109">
        <f t="shared" si="8"/>
        <v>7.5</v>
      </c>
      <c r="AC32" s="107"/>
      <c r="AD32" s="81"/>
      <c r="AE32" s="110">
        <f t="shared" si="9"/>
        <v>0</v>
      </c>
      <c r="AF32" s="99">
        <f t="shared" si="10"/>
        <v>12.5</v>
      </c>
      <c r="AG32" s="111">
        <f t="shared" si="11"/>
        <v>20</v>
      </c>
      <c r="AI32" s="45">
        <f t="shared" si="12"/>
        <v>50</v>
      </c>
      <c r="AJ32" s="94" t="str">
        <f t="shared" si="13"/>
        <v>FAILED</v>
      </c>
    </row>
    <row r="33" spans="1:36" ht="15.75" thickBot="1" x14ac:dyDescent="0.3">
      <c r="A33" s="10">
        <v>23</v>
      </c>
      <c r="B33" s="122" t="str">
        <f>Attendance!B33</f>
        <v>PAJO. MARK JEMUEL MANCENIDO</v>
      </c>
      <c r="C33" s="146">
        <f>Attendance!AH32</f>
        <v>0</v>
      </c>
      <c r="D33" s="147"/>
      <c r="E33" s="148"/>
      <c r="F33" s="58"/>
      <c r="G33" s="51"/>
      <c r="H33" s="52"/>
      <c r="I33" s="53"/>
      <c r="J33" s="54"/>
      <c r="K33" s="50"/>
      <c r="L33" s="85"/>
      <c r="M33" s="90">
        <f t="shared" si="0"/>
        <v>0</v>
      </c>
      <c r="N33" s="88">
        <f t="shared" si="1"/>
        <v>50</v>
      </c>
      <c r="O33" s="83">
        <f t="shared" si="2"/>
        <v>12.5</v>
      </c>
      <c r="P33" s="66"/>
      <c r="Q33" s="54"/>
      <c r="R33" s="54"/>
      <c r="S33" s="57"/>
      <c r="T33" s="56"/>
      <c r="U33" s="95">
        <f t="shared" si="3"/>
        <v>0</v>
      </c>
      <c r="V33" s="101">
        <f t="shared" si="4"/>
        <v>50</v>
      </c>
      <c r="W33" s="102">
        <f t="shared" si="5"/>
        <v>17.5</v>
      </c>
      <c r="X33" s="103">
        <f t="shared" si="6"/>
        <v>30</v>
      </c>
      <c r="Y33" s="66"/>
      <c r="Z33" s="105"/>
      <c r="AA33" s="108">
        <f t="shared" si="7"/>
        <v>0</v>
      </c>
      <c r="AB33" s="109">
        <f t="shared" si="8"/>
        <v>7.5</v>
      </c>
      <c r="AC33" s="107"/>
      <c r="AD33" s="81"/>
      <c r="AE33" s="110">
        <f t="shared" si="9"/>
        <v>0</v>
      </c>
      <c r="AF33" s="99">
        <f t="shared" si="10"/>
        <v>12.5</v>
      </c>
      <c r="AG33" s="111">
        <f t="shared" si="11"/>
        <v>20</v>
      </c>
      <c r="AI33" s="45">
        <f t="shared" si="12"/>
        <v>50</v>
      </c>
      <c r="AJ33" s="94" t="str">
        <f t="shared" si="13"/>
        <v>FAILED</v>
      </c>
    </row>
    <row r="34" spans="1:36" ht="15.75" thickBot="1" x14ac:dyDescent="0.3">
      <c r="A34" s="5">
        <v>24</v>
      </c>
      <c r="B34" s="122" t="str">
        <f>Attendance!B34</f>
        <v>PANALIGAN. LEREMAE SHEANE TUGAP</v>
      </c>
      <c r="C34" s="146">
        <f>Attendance!AH33</f>
        <v>0</v>
      </c>
      <c r="D34" s="147"/>
      <c r="E34" s="148"/>
      <c r="F34" s="58"/>
      <c r="G34" s="51"/>
      <c r="H34" s="52"/>
      <c r="I34" s="53"/>
      <c r="J34" s="54"/>
      <c r="K34" s="50"/>
      <c r="L34" s="85"/>
      <c r="M34" s="90">
        <f t="shared" si="0"/>
        <v>0</v>
      </c>
      <c r="N34" s="88">
        <f t="shared" si="1"/>
        <v>50</v>
      </c>
      <c r="O34" s="83">
        <f t="shared" si="2"/>
        <v>12.5</v>
      </c>
      <c r="P34" s="66"/>
      <c r="Q34" s="54"/>
      <c r="R34" s="54"/>
      <c r="S34" s="57"/>
      <c r="T34" s="56"/>
      <c r="U34" s="95">
        <f t="shared" si="3"/>
        <v>0</v>
      </c>
      <c r="V34" s="101">
        <f t="shared" si="4"/>
        <v>50</v>
      </c>
      <c r="W34" s="102">
        <f t="shared" si="5"/>
        <v>17.5</v>
      </c>
      <c r="X34" s="103">
        <f t="shared" si="6"/>
        <v>30</v>
      </c>
      <c r="Y34" s="66"/>
      <c r="Z34" s="105"/>
      <c r="AA34" s="108">
        <f t="shared" si="7"/>
        <v>0</v>
      </c>
      <c r="AB34" s="109">
        <f t="shared" si="8"/>
        <v>7.5</v>
      </c>
      <c r="AC34" s="107"/>
      <c r="AD34" s="81"/>
      <c r="AE34" s="110">
        <f t="shared" si="9"/>
        <v>0</v>
      </c>
      <c r="AF34" s="99">
        <f t="shared" si="10"/>
        <v>12.5</v>
      </c>
      <c r="AG34" s="111">
        <f t="shared" si="11"/>
        <v>20</v>
      </c>
      <c r="AI34" s="45">
        <f t="shared" si="12"/>
        <v>50</v>
      </c>
      <c r="AJ34" s="94" t="str">
        <f t="shared" si="13"/>
        <v>FAILED</v>
      </c>
    </row>
    <row r="35" spans="1:36" ht="15.75" thickBot="1" x14ac:dyDescent="0.3">
      <c r="A35" s="10">
        <v>25</v>
      </c>
      <c r="B35" s="122" t="str">
        <f>Attendance!B35</f>
        <v>PANGALINON. PETER GLIMADA</v>
      </c>
      <c r="C35" s="146">
        <f>Attendance!AH34</f>
        <v>0</v>
      </c>
      <c r="D35" s="147"/>
      <c r="E35" s="148"/>
      <c r="F35" s="58"/>
      <c r="G35" s="51"/>
      <c r="H35" s="52"/>
      <c r="I35" s="53"/>
      <c r="J35" s="54"/>
      <c r="K35" s="50"/>
      <c r="L35" s="85"/>
      <c r="M35" s="90">
        <f t="shared" si="0"/>
        <v>0</v>
      </c>
      <c r="N35" s="88">
        <f t="shared" si="1"/>
        <v>50</v>
      </c>
      <c r="O35" s="83">
        <f t="shared" si="2"/>
        <v>12.5</v>
      </c>
      <c r="P35" s="66"/>
      <c r="Q35" s="54"/>
      <c r="R35" s="54"/>
      <c r="S35" s="57"/>
      <c r="T35" s="56"/>
      <c r="U35" s="95">
        <f t="shared" si="3"/>
        <v>0</v>
      </c>
      <c r="V35" s="101">
        <f t="shared" si="4"/>
        <v>50</v>
      </c>
      <c r="W35" s="102">
        <f t="shared" si="5"/>
        <v>17.5</v>
      </c>
      <c r="X35" s="103">
        <f t="shared" si="6"/>
        <v>30</v>
      </c>
      <c r="Y35" s="66"/>
      <c r="Z35" s="105"/>
      <c r="AA35" s="108">
        <f t="shared" si="7"/>
        <v>0</v>
      </c>
      <c r="AB35" s="109">
        <f t="shared" si="8"/>
        <v>7.5</v>
      </c>
      <c r="AC35" s="107"/>
      <c r="AD35" s="81"/>
      <c r="AE35" s="110">
        <f t="shared" si="9"/>
        <v>0</v>
      </c>
      <c r="AF35" s="99">
        <f t="shared" si="10"/>
        <v>12.5</v>
      </c>
      <c r="AG35" s="111">
        <f t="shared" si="11"/>
        <v>20</v>
      </c>
      <c r="AI35" s="45">
        <f t="shared" si="12"/>
        <v>50</v>
      </c>
      <c r="AJ35" s="94" t="str">
        <f t="shared" si="13"/>
        <v>FAILED</v>
      </c>
    </row>
    <row r="36" spans="1:36" ht="15.75" thickBot="1" x14ac:dyDescent="0.3">
      <c r="A36" s="5">
        <v>26</v>
      </c>
      <c r="B36" s="122" t="str">
        <f>Attendance!B36</f>
        <v>PARADERO. NIKKO SOLAYAO</v>
      </c>
      <c r="C36" s="146">
        <f>Attendance!AH35</f>
        <v>0</v>
      </c>
      <c r="D36" s="147"/>
      <c r="E36" s="148"/>
      <c r="F36" s="58"/>
      <c r="G36" s="51"/>
      <c r="H36" s="52"/>
      <c r="I36" s="53"/>
      <c r="J36" s="54"/>
      <c r="K36" s="50"/>
      <c r="L36" s="85"/>
      <c r="M36" s="90">
        <f t="shared" si="0"/>
        <v>0</v>
      </c>
      <c r="N36" s="88">
        <f t="shared" si="1"/>
        <v>50</v>
      </c>
      <c r="O36" s="83">
        <f t="shared" si="2"/>
        <v>12.5</v>
      </c>
      <c r="P36" s="66"/>
      <c r="Q36" s="54"/>
      <c r="R36" s="54"/>
      <c r="S36" s="57"/>
      <c r="T36" s="56"/>
      <c r="U36" s="95">
        <f t="shared" si="3"/>
        <v>0</v>
      </c>
      <c r="V36" s="101">
        <f t="shared" si="4"/>
        <v>50</v>
      </c>
      <c r="W36" s="102">
        <f t="shared" si="5"/>
        <v>17.5</v>
      </c>
      <c r="X36" s="103">
        <f t="shared" si="6"/>
        <v>30</v>
      </c>
      <c r="Y36" s="66"/>
      <c r="Z36" s="105"/>
      <c r="AA36" s="108">
        <f t="shared" si="7"/>
        <v>0</v>
      </c>
      <c r="AB36" s="109">
        <f t="shared" si="8"/>
        <v>7.5</v>
      </c>
      <c r="AC36" s="107"/>
      <c r="AD36" s="81"/>
      <c r="AE36" s="110">
        <f t="shared" si="9"/>
        <v>0</v>
      </c>
      <c r="AF36" s="99">
        <f t="shared" si="10"/>
        <v>12.5</v>
      </c>
      <c r="AG36" s="111">
        <f t="shared" si="11"/>
        <v>20</v>
      </c>
      <c r="AI36" s="45">
        <f t="shared" si="12"/>
        <v>50</v>
      </c>
      <c r="AJ36" s="94" t="str">
        <f t="shared" si="13"/>
        <v>FAILED</v>
      </c>
    </row>
    <row r="37" spans="1:36" ht="15.75" thickBot="1" x14ac:dyDescent="0.3">
      <c r="A37" s="5">
        <v>27</v>
      </c>
      <c r="B37" s="122" t="str">
        <f>Attendance!B37</f>
        <v>RECALE. IVAN JAY DEMILLO</v>
      </c>
      <c r="C37" s="146">
        <f>Attendance!AH36</f>
        <v>0</v>
      </c>
      <c r="D37" s="147"/>
      <c r="E37" s="148"/>
      <c r="F37" s="58"/>
      <c r="G37" s="51"/>
      <c r="H37" s="52"/>
      <c r="I37" s="53"/>
      <c r="J37" s="54"/>
      <c r="K37" s="50"/>
      <c r="L37" s="85"/>
      <c r="M37" s="90">
        <f t="shared" si="0"/>
        <v>0</v>
      </c>
      <c r="N37" s="88">
        <f t="shared" si="1"/>
        <v>50</v>
      </c>
      <c r="O37" s="83">
        <f t="shared" si="2"/>
        <v>12.5</v>
      </c>
      <c r="P37" s="66"/>
      <c r="Q37" s="54"/>
      <c r="R37" s="54"/>
      <c r="S37" s="57"/>
      <c r="T37" s="56"/>
      <c r="U37" s="95">
        <f t="shared" si="3"/>
        <v>0</v>
      </c>
      <c r="V37" s="101">
        <f t="shared" si="4"/>
        <v>50</v>
      </c>
      <c r="W37" s="102">
        <f t="shared" si="5"/>
        <v>17.5</v>
      </c>
      <c r="X37" s="103">
        <f t="shared" si="6"/>
        <v>30</v>
      </c>
      <c r="Y37" s="66"/>
      <c r="Z37" s="105"/>
      <c r="AA37" s="108">
        <f t="shared" si="7"/>
        <v>0</v>
      </c>
      <c r="AB37" s="109">
        <f t="shared" si="8"/>
        <v>7.5</v>
      </c>
      <c r="AC37" s="107"/>
      <c r="AD37" s="81"/>
      <c r="AE37" s="110">
        <f t="shared" si="9"/>
        <v>0</v>
      </c>
      <c r="AF37" s="99">
        <f t="shared" si="10"/>
        <v>12.5</v>
      </c>
      <c r="AG37" s="111">
        <f t="shared" si="11"/>
        <v>20</v>
      </c>
      <c r="AI37" s="45">
        <f t="shared" si="12"/>
        <v>50</v>
      </c>
      <c r="AJ37" s="94" t="str">
        <f t="shared" si="13"/>
        <v>FAILED</v>
      </c>
    </row>
    <row r="38" spans="1:36" ht="15.75" thickBot="1" x14ac:dyDescent="0.3">
      <c r="A38" s="5">
        <v>28</v>
      </c>
      <c r="B38" s="122" t="str">
        <f>Attendance!B38</f>
        <v>ROCABERTE. IVAN JHAMES MEPERANUM</v>
      </c>
      <c r="C38" s="146">
        <f>Attendance!AH37</f>
        <v>0</v>
      </c>
      <c r="D38" s="147"/>
      <c r="E38" s="148"/>
      <c r="F38" s="58"/>
      <c r="G38" s="51"/>
      <c r="H38" s="52"/>
      <c r="I38" s="53"/>
      <c r="J38" s="54"/>
      <c r="K38" s="50"/>
      <c r="L38" s="85"/>
      <c r="M38" s="90">
        <f t="shared" si="0"/>
        <v>0</v>
      </c>
      <c r="N38" s="88">
        <f t="shared" si="1"/>
        <v>50</v>
      </c>
      <c r="O38" s="83">
        <f t="shared" si="2"/>
        <v>12.5</v>
      </c>
      <c r="P38" s="66"/>
      <c r="Q38" s="54"/>
      <c r="R38" s="54"/>
      <c r="S38" s="57"/>
      <c r="T38" s="56"/>
      <c r="U38" s="95">
        <f t="shared" si="3"/>
        <v>0</v>
      </c>
      <c r="V38" s="101">
        <f t="shared" si="4"/>
        <v>50</v>
      </c>
      <c r="W38" s="102">
        <f t="shared" si="5"/>
        <v>17.5</v>
      </c>
      <c r="X38" s="103">
        <f t="shared" si="6"/>
        <v>30</v>
      </c>
      <c r="Y38" s="66"/>
      <c r="Z38" s="105"/>
      <c r="AA38" s="108">
        <f t="shared" si="7"/>
        <v>0</v>
      </c>
      <c r="AB38" s="109">
        <f t="shared" si="8"/>
        <v>7.5</v>
      </c>
      <c r="AC38" s="107"/>
      <c r="AD38" s="81"/>
      <c r="AE38" s="110">
        <f t="shared" si="9"/>
        <v>0</v>
      </c>
      <c r="AF38" s="99">
        <f t="shared" si="10"/>
        <v>12.5</v>
      </c>
      <c r="AG38" s="111">
        <f t="shared" si="11"/>
        <v>20</v>
      </c>
      <c r="AI38" s="45">
        <f t="shared" si="12"/>
        <v>50</v>
      </c>
      <c r="AJ38" s="94" t="str">
        <f t="shared" si="13"/>
        <v>FAILED</v>
      </c>
    </row>
    <row r="39" spans="1:36" ht="15.75" thickBot="1" x14ac:dyDescent="0.3">
      <c r="A39" s="5">
        <v>29</v>
      </c>
      <c r="B39" s="122" t="str">
        <f>Attendance!B39</f>
        <v>SARDONCILLO. ELLY MAY YSULAN</v>
      </c>
      <c r="C39" s="146">
        <f>Attendance!AH38</f>
        <v>0</v>
      </c>
      <c r="D39" s="147"/>
      <c r="E39" s="148"/>
      <c r="F39" s="58"/>
      <c r="G39" s="51"/>
      <c r="H39" s="52"/>
      <c r="I39" s="53"/>
      <c r="J39" s="54"/>
      <c r="K39" s="50"/>
      <c r="L39" s="85"/>
      <c r="M39" s="90">
        <f t="shared" si="0"/>
        <v>0</v>
      </c>
      <c r="N39" s="88">
        <f t="shared" si="1"/>
        <v>50</v>
      </c>
      <c r="O39" s="83">
        <f t="shared" si="2"/>
        <v>12.5</v>
      </c>
      <c r="P39" s="66"/>
      <c r="Q39" s="54"/>
      <c r="R39" s="54"/>
      <c r="S39" s="57"/>
      <c r="T39" s="56"/>
      <c r="U39" s="95">
        <f t="shared" si="3"/>
        <v>0</v>
      </c>
      <c r="V39" s="101">
        <f t="shared" si="4"/>
        <v>50</v>
      </c>
      <c r="W39" s="102">
        <f t="shared" si="5"/>
        <v>17.5</v>
      </c>
      <c r="X39" s="103">
        <f t="shared" si="6"/>
        <v>30</v>
      </c>
      <c r="Y39" s="66"/>
      <c r="Z39" s="105"/>
      <c r="AA39" s="108">
        <f t="shared" si="7"/>
        <v>0</v>
      </c>
      <c r="AB39" s="109">
        <f t="shared" si="8"/>
        <v>7.5</v>
      </c>
      <c r="AC39" s="107"/>
      <c r="AD39" s="81"/>
      <c r="AE39" s="110">
        <f t="shared" si="9"/>
        <v>0</v>
      </c>
      <c r="AF39" s="99">
        <f t="shared" si="10"/>
        <v>12.5</v>
      </c>
      <c r="AG39" s="111">
        <f t="shared" si="11"/>
        <v>20</v>
      </c>
      <c r="AI39" s="45">
        <f t="shared" si="12"/>
        <v>50</v>
      </c>
      <c r="AJ39" s="94" t="str">
        <f t="shared" si="13"/>
        <v>FAILED</v>
      </c>
    </row>
    <row r="40" spans="1:36" ht="15.75" thickBot="1" x14ac:dyDescent="0.3">
      <c r="A40" s="5">
        <v>30</v>
      </c>
      <c r="B40" s="122" t="str">
        <f>Attendance!B40</f>
        <v>SIAGO. JERICHO CALUNSAG</v>
      </c>
      <c r="C40" s="146">
        <f>Attendance!AH39</f>
        <v>0</v>
      </c>
      <c r="D40" s="147"/>
      <c r="E40" s="148"/>
      <c r="F40" s="58"/>
      <c r="G40" s="51"/>
      <c r="H40" s="52"/>
      <c r="I40" s="53"/>
      <c r="J40" s="54"/>
      <c r="K40" s="50"/>
      <c r="L40" s="85"/>
      <c r="M40" s="90">
        <f t="shared" si="0"/>
        <v>0</v>
      </c>
      <c r="N40" s="88">
        <f t="shared" si="1"/>
        <v>50</v>
      </c>
      <c r="O40" s="83">
        <f t="shared" si="2"/>
        <v>12.5</v>
      </c>
      <c r="P40" s="66"/>
      <c r="Q40" s="54"/>
      <c r="R40" s="54"/>
      <c r="S40" s="57"/>
      <c r="T40" s="56"/>
      <c r="U40" s="95">
        <f t="shared" si="3"/>
        <v>0</v>
      </c>
      <c r="V40" s="101">
        <f t="shared" si="4"/>
        <v>50</v>
      </c>
      <c r="W40" s="102">
        <f t="shared" si="5"/>
        <v>17.5</v>
      </c>
      <c r="X40" s="103">
        <f t="shared" si="6"/>
        <v>30</v>
      </c>
      <c r="Y40" s="66"/>
      <c r="Z40" s="105"/>
      <c r="AA40" s="108">
        <f t="shared" si="7"/>
        <v>0</v>
      </c>
      <c r="AB40" s="109">
        <f t="shared" si="8"/>
        <v>7.5</v>
      </c>
      <c r="AC40" s="107"/>
      <c r="AD40" s="81"/>
      <c r="AE40" s="110">
        <f t="shared" si="9"/>
        <v>0</v>
      </c>
      <c r="AF40" s="99">
        <f t="shared" si="10"/>
        <v>12.5</v>
      </c>
      <c r="AG40" s="111">
        <f t="shared" si="11"/>
        <v>20</v>
      </c>
      <c r="AI40" s="45">
        <f t="shared" si="12"/>
        <v>50</v>
      </c>
      <c r="AJ40" s="94" t="str">
        <f t="shared" si="13"/>
        <v>FAILED</v>
      </c>
    </row>
    <row r="41" spans="1:36" ht="15.75" thickBot="1" x14ac:dyDescent="0.3">
      <c r="A41" s="5">
        <v>31</v>
      </c>
      <c r="B41" s="122" t="str">
        <f>Attendance!B41</f>
        <v>SILAGAN. THYRON CABILES</v>
      </c>
      <c r="C41" s="146">
        <f>Attendance!AH40</f>
        <v>0</v>
      </c>
      <c r="D41" s="147"/>
      <c r="E41" s="148"/>
      <c r="F41" s="58"/>
      <c r="G41" s="51"/>
      <c r="H41" s="52"/>
      <c r="I41" s="53"/>
      <c r="J41" s="54"/>
      <c r="K41" s="50"/>
      <c r="L41" s="85"/>
      <c r="M41" s="90">
        <f t="shared" si="0"/>
        <v>0</v>
      </c>
      <c r="N41" s="88">
        <f t="shared" si="1"/>
        <v>50</v>
      </c>
      <c r="O41" s="83">
        <f t="shared" si="2"/>
        <v>12.5</v>
      </c>
      <c r="P41" s="66"/>
      <c r="Q41" s="54"/>
      <c r="R41" s="54"/>
      <c r="S41" s="57"/>
      <c r="T41" s="56"/>
      <c r="U41" s="95">
        <f t="shared" si="3"/>
        <v>0</v>
      </c>
      <c r="V41" s="101">
        <f t="shared" si="4"/>
        <v>50</v>
      </c>
      <c r="W41" s="102">
        <f t="shared" si="5"/>
        <v>17.5</v>
      </c>
      <c r="X41" s="103">
        <f t="shared" si="6"/>
        <v>30</v>
      </c>
      <c r="Y41" s="66"/>
      <c r="Z41" s="105"/>
      <c r="AA41" s="108">
        <f t="shared" si="7"/>
        <v>0</v>
      </c>
      <c r="AB41" s="109">
        <f t="shared" si="8"/>
        <v>7.5</v>
      </c>
      <c r="AC41" s="107"/>
      <c r="AD41" s="81"/>
      <c r="AE41" s="110">
        <f t="shared" si="9"/>
        <v>0</v>
      </c>
      <c r="AF41" s="99">
        <f t="shared" si="10"/>
        <v>12.5</v>
      </c>
      <c r="AG41" s="111">
        <f t="shared" si="11"/>
        <v>20</v>
      </c>
      <c r="AI41" s="45">
        <f t="shared" si="12"/>
        <v>50</v>
      </c>
      <c r="AJ41" s="94" t="str">
        <f t="shared" si="13"/>
        <v>FAILED</v>
      </c>
    </row>
    <row r="42" spans="1:36" ht="15.75" thickBot="1" x14ac:dyDescent="0.3">
      <c r="A42" s="5">
        <v>32</v>
      </c>
      <c r="B42" s="122" t="str">
        <f>Attendance!B42</f>
        <v>SUERTE. KHENT BRIANE ORCASITAS</v>
      </c>
      <c r="C42" s="146">
        <f>Attendance!AH41</f>
        <v>0</v>
      </c>
      <c r="D42" s="147"/>
      <c r="E42" s="148"/>
      <c r="F42" s="58"/>
      <c r="G42" s="51"/>
      <c r="H42" s="52"/>
      <c r="I42" s="53"/>
      <c r="J42" s="54"/>
      <c r="K42" s="50"/>
      <c r="L42" s="85"/>
      <c r="M42" s="90">
        <f t="shared" si="0"/>
        <v>0</v>
      </c>
      <c r="N42" s="88">
        <f t="shared" si="1"/>
        <v>50</v>
      </c>
      <c r="O42" s="83">
        <f t="shared" si="2"/>
        <v>12.5</v>
      </c>
      <c r="P42" s="66"/>
      <c r="Q42" s="54"/>
      <c r="R42" s="54"/>
      <c r="S42" s="57"/>
      <c r="T42" s="56"/>
      <c r="U42" s="95">
        <f t="shared" si="3"/>
        <v>0</v>
      </c>
      <c r="V42" s="101">
        <f t="shared" si="4"/>
        <v>50</v>
      </c>
      <c r="W42" s="102">
        <f t="shared" si="5"/>
        <v>17.5</v>
      </c>
      <c r="X42" s="103">
        <f t="shared" si="6"/>
        <v>30</v>
      </c>
      <c r="Y42" s="66"/>
      <c r="Z42" s="105"/>
      <c r="AA42" s="108">
        <f t="shared" si="7"/>
        <v>0</v>
      </c>
      <c r="AB42" s="109">
        <f t="shared" si="8"/>
        <v>7.5</v>
      </c>
      <c r="AC42" s="107"/>
      <c r="AD42" s="81"/>
      <c r="AE42" s="110">
        <f t="shared" si="9"/>
        <v>0</v>
      </c>
      <c r="AF42" s="99">
        <f t="shared" si="10"/>
        <v>12.5</v>
      </c>
      <c r="AG42" s="111">
        <f t="shared" si="11"/>
        <v>20</v>
      </c>
      <c r="AI42" s="45">
        <f t="shared" si="12"/>
        <v>50</v>
      </c>
      <c r="AJ42" s="94" t="str">
        <f t="shared" si="13"/>
        <v>FAILED</v>
      </c>
    </row>
    <row r="43" spans="1:36" ht="15.75" thickBot="1" x14ac:dyDescent="0.3">
      <c r="A43" s="5">
        <v>33</v>
      </c>
      <c r="B43" s="122" t="str">
        <f>Attendance!B43</f>
        <v>SUMUGAT. EDGARDO JR. CORDEVILLA</v>
      </c>
      <c r="C43" s="146">
        <f>Attendance!AH42</f>
        <v>0</v>
      </c>
      <c r="D43" s="147"/>
      <c r="E43" s="148"/>
      <c r="F43" s="58"/>
      <c r="G43" s="51"/>
      <c r="H43" s="52"/>
      <c r="I43" s="53"/>
      <c r="J43" s="54"/>
      <c r="K43" s="50"/>
      <c r="L43" s="85"/>
      <c r="M43" s="90">
        <f t="shared" si="0"/>
        <v>0</v>
      </c>
      <c r="N43" s="88">
        <f t="shared" si="1"/>
        <v>50</v>
      </c>
      <c r="O43" s="83">
        <f t="shared" si="2"/>
        <v>12.5</v>
      </c>
      <c r="P43" s="66"/>
      <c r="Q43" s="54"/>
      <c r="R43" s="54"/>
      <c r="S43" s="57"/>
      <c r="T43" s="56"/>
      <c r="U43" s="95">
        <f t="shared" si="3"/>
        <v>0</v>
      </c>
      <c r="V43" s="101">
        <f t="shared" si="4"/>
        <v>50</v>
      </c>
      <c r="W43" s="102">
        <f t="shared" si="5"/>
        <v>17.5</v>
      </c>
      <c r="X43" s="103">
        <f t="shared" si="6"/>
        <v>30</v>
      </c>
      <c r="Y43" s="66"/>
      <c r="Z43" s="105"/>
      <c r="AA43" s="108">
        <f t="shared" si="7"/>
        <v>0</v>
      </c>
      <c r="AB43" s="109">
        <f t="shared" si="8"/>
        <v>7.5</v>
      </c>
      <c r="AC43" s="107"/>
      <c r="AD43" s="81"/>
      <c r="AE43" s="110">
        <f t="shared" si="9"/>
        <v>0</v>
      </c>
      <c r="AF43" s="99">
        <f t="shared" si="10"/>
        <v>12.5</v>
      </c>
      <c r="AG43" s="111">
        <f t="shared" si="11"/>
        <v>20</v>
      </c>
      <c r="AI43" s="45">
        <f t="shared" si="12"/>
        <v>50</v>
      </c>
      <c r="AJ43" s="94" t="str">
        <f t="shared" si="13"/>
        <v>FAILED</v>
      </c>
    </row>
    <row r="44" spans="1:36" ht="15.75" thickBot="1" x14ac:dyDescent="0.3">
      <c r="A44" s="5">
        <v>34</v>
      </c>
      <c r="B44" s="122" t="str">
        <f>Attendance!B44</f>
        <v>TABLATIN. CHRISTIAN JAY BAYONA</v>
      </c>
      <c r="C44" s="146">
        <f>Attendance!AH43</f>
        <v>0</v>
      </c>
      <c r="D44" s="147"/>
      <c r="E44" s="148"/>
      <c r="F44" s="58"/>
      <c r="G44" s="51"/>
      <c r="H44" s="52"/>
      <c r="I44" s="53"/>
      <c r="J44" s="54"/>
      <c r="K44" s="50"/>
      <c r="L44" s="85"/>
      <c r="M44" s="90">
        <f t="shared" si="0"/>
        <v>0</v>
      </c>
      <c r="N44" s="88">
        <f t="shared" si="1"/>
        <v>50</v>
      </c>
      <c r="O44" s="83">
        <f t="shared" si="2"/>
        <v>12.5</v>
      </c>
      <c r="P44" s="66"/>
      <c r="Q44" s="54"/>
      <c r="R44" s="54"/>
      <c r="S44" s="57"/>
      <c r="T44" s="56"/>
      <c r="U44" s="95">
        <f t="shared" si="3"/>
        <v>0</v>
      </c>
      <c r="V44" s="101">
        <f t="shared" si="4"/>
        <v>50</v>
      </c>
      <c r="W44" s="102">
        <f t="shared" si="5"/>
        <v>17.5</v>
      </c>
      <c r="X44" s="103">
        <f t="shared" si="6"/>
        <v>30</v>
      </c>
      <c r="Y44" s="66"/>
      <c r="Z44" s="105"/>
      <c r="AA44" s="108">
        <f t="shared" si="7"/>
        <v>0</v>
      </c>
      <c r="AB44" s="109">
        <f t="shared" si="8"/>
        <v>7.5</v>
      </c>
      <c r="AC44" s="107"/>
      <c r="AD44" s="81"/>
      <c r="AE44" s="110">
        <f t="shared" si="9"/>
        <v>0</v>
      </c>
      <c r="AF44" s="99">
        <f t="shared" si="10"/>
        <v>12.5</v>
      </c>
      <c r="AG44" s="111">
        <f t="shared" si="11"/>
        <v>20</v>
      </c>
      <c r="AI44" s="45">
        <f t="shared" si="12"/>
        <v>50</v>
      </c>
      <c r="AJ44" s="94" t="str">
        <f t="shared" si="13"/>
        <v>FAILED</v>
      </c>
    </row>
    <row r="45" spans="1:36" ht="15.75" thickBot="1" x14ac:dyDescent="0.3">
      <c r="A45" s="5">
        <v>35</v>
      </c>
      <c r="B45" s="122" t="str">
        <f>Attendance!B45</f>
        <v>TAMPUS. CALE JANINE BRINGAS</v>
      </c>
      <c r="C45" s="146">
        <f>Attendance!AH44</f>
        <v>0</v>
      </c>
      <c r="D45" s="147"/>
      <c r="E45" s="148"/>
      <c r="F45" s="58"/>
      <c r="G45" s="51"/>
      <c r="H45" s="52"/>
      <c r="I45" s="53"/>
      <c r="J45" s="54"/>
      <c r="K45" s="50"/>
      <c r="L45" s="85"/>
      <c r="M45" s="90">
        <f t="shared" si="0"/>
        <v>0</v>
      </c>
      <c r="N45" s="88">
        <f t="shared" si="1"/>
        <v>50</v>
      </c>
      <c r="O45" s="83">
        <f t="shared" si="2"/>
        <v>12.5</v>
      </c>
      <c r="P45" s="66"/>
      <c r="Q45" s="54"/>
      <c r="R45" s="54"/>
      <c r="S45" s="57"/>
      <c r="T45" s="56"/>
      <c r="U45" s="95">
        <f t="shared" si="3"/>
        <v>0</v>
      </c>
      <c r="V45" s="101">
        <f t="shared" si="4"/>
        <v>50</v>
      </c>
      <c r="W45" s="102">
        <f t="shared" si="5"/>
        <v>17.5</v>
      </c>
      <c r="X45" s="103">
        <f t="shared" si="6"/>
        <v>30</v>
      </c>
      <c r="Y45" s="66"/>
      <c r="Z45" s="105"/>
      <c r="AA45" s="108">
        <f t="shared" si="7"/>
        <v>0</v>
      </c>
      <c r="AB45" s="109">
        <f t="shared" si="8"/>
        <v>7.5</v>
      </c>
      <c r="AC45" s="107"/>
      <c r="AD45" s="81"/>
      <c r="AE45" s="110">
        <f t="shared" si="9"/>
        <v>0</v>
      </c>
      <c r="AF45" s="99">
        <f t="shared" si="10"/>
        <v>12.5</v>
      </c>
      <c r="AG45" s="111">
        <f t="shared" si="11"/>
        <v>20</v>
      </c>
      <c r="AI45" s="45">
        <f t="shared" si="12"/>
        <v>50</v>
      </c>
      <c r="AJ45" s="94" t="str">
        <f t="shared" si="13"/>
        <v>FAILED</v>
      </c>
    </row>
    <row r="46" spans="1:36" ht="15.75" thickBot="1" x14ac:dyDescent="0.3">
      <c r="A46" s="5">
        <v>36</v>
      </c>
      <c r="B46" s="122" t="str">
        <f>Attendance!B46</f>
        <v>TEJADA. JURIELLE MARTIZANO</v>
      </c>
      <c r="C46" s="146">
        <f>Attendance!AH45</f>
        <v>0</v>
      </c>
      <c r="D46" s="147"/>
      <c r="E46" s="148"/>
      <c r="F46" s="58"/>
      <c r="G46" s="51"/>
      <c r="H46" s="52"/>
      <c r="I46" s="53"/>
      <c r="J46" s="54"/>
      <c r="K46" s="50"/>
      <c r="L46" s="85"/>
      <c r="M46" s="90">
        <f t="shared" si="0"/>
        <v>0</v>
      </c>
      <c r="N46" s="88">
        <f t="shared" si="1"/>
        <v>50</v>
      </c>
      <c r="O46" s="83">
        <f t="shared" si="2"/>
        <v>12.5</v>
      </c>
      <c r="P46" s="66"/>
      <c r="Q46" s="54"/>
      <c r="R46" s="54"/>
      <c r="S46" s="57"/>
      <c r="T46" s="56"/>
      <c r="U46" s="95">
        <f t="shared" si="3"/>
        <v>0</v>
      </c>
      <c r="V46" s="101">
        <f t="shared" si="4"/>
        <v>50</v>
      </c>
      <c r="W46" s="102">
        <f t="shared" si="5"/>
        <v>17.5</v>
      </c>
      <c r="X46" s="103">
        <f t="shared" si="6"/>
        <v>30</v>
      </c>
      <c r="Y46" s="66"/>
      <c r="Z46" s="105"/>
      <c r="AA46" s="108">
        <f t="shared" si="7"/>
        <v>0</v>
      </c>
      <c r="AB46" s="109">
        <f t="shared" si="8"/>
        <v>7.5</v>
      </c>
      <c r="AC46" s="107"/>
      <c r="AD46" s="81"/>
      <c r="AE46" s="110">
        <f t="shared" si="9"/>
        <v>0</v>
      </c>
      <c r="AF46" s="99">
        <f t="shared" si="10"/>
        <v>12.5</v>
      </c>
      <c r="AG46" s="111">
        <f t="shared" si="11"/>
        <v>20</v>
      </c>
      <c r="AI46" s="45">
        <f t="shared" si="12"/>
        <v>50</v>
      </c>
      <c r="AJ46" s="94" t="str">
        <f t="shared" si="13"/>
        <v>FAILED</v>
      </c>
    </row>
    <row r="47" spans="1:36" ht="15.75" thickBot="1" x14ac:dyDescent="0.3">
      <c r="A47" s="5">
        <v>37</v>
      </c>
      <c r="B47" s="122" t="str">
        <f>Attendance!B47</f>
        <v>USMAN. KATHERINE YANONG</v>
      </c>
      <c r="C47" s="146">
        <f>Attendance!AH46</f>
        <v>0</v>
      </c>
      <c r="D47" s="147"/>
      <c r="E47" s="148"/>
      <c r="F47" s="58"/>
      <c r="G47" s="51"/>
      <c r="H47" s="52"/>
      <c r="I47" s="53"/>
      <c r="J47" s="54"/>
      <c r="K47" s="50"/>
      <c r="L47" s="85"/>
      <c r="M47" s="90">
        <f t="shared" si="0"/>
        <v>0</v>
      </c>
      <c r="N47" s="88">
        <f t="shared" si="1"/>
        <v>50</v>
      </c>
      <c r="O47" s="83">
        <f t="shared" si="2"/>
        <v>12.5</v>
      </c>
      <c r="P47" s="66"/>
      <c r="Q47" s="54"/>
      <c r="R47" s="54"/>
      <c r="S47" s="57"/>
      <c r="T47" s="56"/>
      <c r="U47" s="95">
        <f t="shared" si="3"/>
        <v>0</v>
      </c>
      <c r="V47" s="101">
        <f t="shared" si="4"/>
        <v>50</v>
      </c>
      <c r="W47" s="102">
        <f t="shared" si="5"/>
        <v>17.5</v>
      </c>
      <c r="X47" s="103">
        <f t="shared" si="6"/>
        <v>30</v>
      </c>
      <c r="Y47" s="66"/>
      <c r="Z47" s="105"/>
      <c r="AA47" s="108">
        <f t="shared" si="7"/>
        <v>0</v>
      </c>
      <c r="AB47" s="109">
        <f t="shared" si="8"/>
        <v>7.5</v>
      </c>
      <c r="AC47" s="107"/>
      <c r="AD47" s="81"/>
      <c r="AE47" s="110">
        <f t="shared" si="9"/>
        <v>0</v>
      </c>
      <c r="AF47" s="99">
        <f t="shared" si="10"/>
        <v>12.5</v>
      </c>
      <c r="AG47" s="111">
        <f t="shared" si="11"/>
        <v>20</v>
      </c>
      <c r="AI47" s="45">
        <f t="shared" si="12"/>
        <v>50</v>
      </c>
      <c r="AJ47" s="94" t="str">
        <f t="shared" si="13"/>
        <v>FAILED</v>
      </c>
    </row>
    <row r="48" spans="1:36" ht="15.75" thickBot="1" x14ac:dyDescent="0.3">
      <c r="A48" s="5">
        <v>38</v>
      </c>
      <c r="B48" s="122" t="str">
        <f>Attendance!B48</f>
        <v>VILLARBA. JACOB PERNITO</v>
      </c>
      <c r="C48" s="146">
        <f>Attendance!AH47</f>
        <v>0</v>
      </c>
      <c r="D48" s="147"/>
      <c r="E48" s="148"/>
      <c r="F48" s="58"/>
      <c r="G48" s="51"/>
      <c r="H48" s="52"/>
      <c r="I48" s="53"/>
      <c r="J48" s="54"/>
      <c r="K48" s="50"/>
      <c r="L48" s="85"/>
      <c r="M48" s="90">
        <f t="shared" si="0"/>
        <v>0</v>
      </c>
      <c r="N48" s="88">
        <f t="shared" si="1"/>
        <v>50</v>
      </c>
      <c r="O48" s="83">
        <f t="shared" si="2"/>
        <v>12.5</v>
      </c>
      <c r="P48" s="66"/>
      <c r="Q48" s="54"/>
      <c r="R48" s="54"/>
      <c r="S48" s="57"/>
      <c r="T48" s="56"/>
      <c r="U48" s="95">
        <f t="shared" si="3"/>
        <v>0</v>
      </c>
      <c r="V48" s="101">
        <f t="shared" si="4"/>
        <v>50</v>
      </c>
      <c r="W48" s="102">
        <f t="shared" si="5"/>
        <v>17.5</v>
      </c>
      <c r="X48" s="103">
        <f t="shared" si="6"/>
        <v>30</v>
      </c>
      <c r="Y48" s="66"/>
      <c r="Z48" s="105"/>
      <c r="AA48" s="108">
        <f t="shared" si="7"/>
        <v>0</v>
      </c>
      <c r="AB48" s="109">
        <f t="shared" si="8"/>
        <v>7.5</v>
      </c>
      <c r="AC48" s="107"/>
      <c r="AD48" s="81"/>
      <c r="AE48" s="110">
        <f t="shared" si="9"/>
        <v>0</v>
      </c>
      <c r="AF48" s="99">
        <f t="shared" si="10"/>
        <v>12.5</v>
      </c>
      <c r="AG48" s="111">
        <f t="shared" si="11"/>
        <v>20</v>
      </c>
      <c r="AI48" s="45">
        <f t="shared" si="12"/>
        <v>50</v>
      </c>
      <c r="AJ48" s="94" t="str">
        <f t="shared" si="13"/>
        <v>FAILED</v>
      </c>
    </row>
    <row r="49" spans="1:36" ht="15.75" thickBot="1" x14ac:dyDescent="0.3">
      <c r="A49" s="5">
        <v>39</v>
      </c>
      <c r="B49" s="122">
        <f>Attendance!B49</f>
        <v>0</v>
      </c>
      <c r="C49" s="149">
        <f>Attendance!AH48</f>
        <v>0</v>
      </c>
      <c r="D49" s="150"/>
      <c r="E49" s="151"/>
      <c r="F49" s="59"/>
      <c r="G49" s="60"/>
      <c r="H49" s="61"/>
      <c r="I49" s="62"/>
      <c r="J49" s="63"/>
      <c r="K49" s="64"/>
      <c r="L49" s="86"/>
      <c r="M49" s="91">
        <f t="shared" si="0"/>
        <v>0</v>
      </c>
      <c r="N49" s="88">
        <f t="shared" si="1"/>
        <v>50</v>
      </c>
      <c r="O49" s="65">
        <f t="shared" si="2"/>
        <v>12.5</v>
      </c>
      <c r="P49" s="69"/>
      <c r="Q49" s="63"/>
      <c r="R49" s="63"/>
      <c r="S49" s="70"/>
      <c r="T49" s="71"/>
      <c r="U49" s="95">
        <f t="shared" si="3"/>
        <v>0</v>
      </c>
      <c r="V49" s="101">
        <f t="shared" si="4"/>
        <v>50</v>
      </c>
      <c r="W49" s="102">
        <f t="shared" si="5"/>
        <v>17.5</v>
      </c>
      <c r="X49" s="103">
        <f t="shared" si="6"/>
        <v>30</v>
      </c>
      <c r="Y49" s="69"/>
      <c r="Z49" s="106"/>
      <c r="AA49" s="108">
        <f t="shared" si="7"/>
        <v>0</v>
      </c>
      <c r="AB49" s="109">
        <f t="shared" si="8"/>
        <v>7.5</v>
      </c>
      <c r="AC49" s="107"/>
      <c r="AD49" s="82"/>
      <c r="AE49" s="110">
        <f t="shared" si="9"/>
        <v>0</v>
      </c>
      <c r="AF49" s="99">
        <f t="shared" si="10"/>
        <v>12.5</v>
      </c>
      <c r="AG49" s="111">
        <f t="shared" si="11"/>
        <v>20</v>
      </c>
      <c r="AI49" s="45">
        <f t="shared" si="12"/>
        <v>50</v>
      </c>
      <c r="AJ49" s="94" t="str">
        <f t="shared" si="13"/>
        <v>FAILED</v>
      </c>
    </row>
  </sheetData>
  <mergeCells count="54">
    <mergeCell ref="AC9:AF9"/>
    <mergeCell ref="C10:E10"/>
    <mergeCell ref="C1:AG5"/>
    <mergeCell ref="C6:AG6"/>
    <mergeCell ref="C7:X7"/>
    <mergeCell ref="Y7:AG7"/>
    <mergeCell ref="C8:E8"/>
    <mergeCell ref="F8:O8"/>
    <mergeCell ref="P8:W8"/>
    <mergeCell ref="Y8:AB8"/>
    <mergeCell ref="AC8:AF8"/>
    <mergeCell ref="C16:E16"/>
    <mergeCell ref="C9:E9"/>
    <mergeCell ref="F9:O9"/>
    <mergeCell ref="P9:W9"/>
    <mergeCell ref="Y9:AB9"/>
    <mergeCell ref="C11:E11"/>
    <mergeCell ref="C12:E12"/>
    <mergeCell ref="C13:E13"/>
    <mergeCell ref="C14:E14"/>
    <mergeCell ref="C15:E15"/>
    <mergeCell ref="C28:E28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40:E40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7:E47"/>
    <mergeCell ref="C48:E48"/>
    <mergeCell ref="C49:E49"/>
    <mergeCell ref="C41:E41"/>
    <mergeCell ref="C42:E42"/>
    <mergeCell ref="C43:E43"/>
    <mergeCell ref="C44:E44"/>
    <mergeCell ref="C45:E45"/>
    <mergeCell ref="C46:E46"/>
  </mergeCells>
  <conditionalFormatting sqref="AC8 AF10:AF49 AI7:AI49">
    <cfRule type="cellIs" dxfId="4" priority="3" operator="lessThan">
      <formula>75</formula>
    </cfRule>
  </conditionalFormatting>
  <conditionalFormatting sqref="AG10:AG49">
    <cfRule type="containsText" dxfId="3" priority="2" operator="containsText" text="FAILED">
      <formula>NOT(ISERROR(SEARCH("FAILED",AG10)))</formula>
    </cfRule>
  </conditionalFormatting>
  <conditionalFormatting sqref="AJ7:AJ49">
    <cfRule type="containsText" dxfId="2" priority="1" operator="containsText" text="FAILED">
      <formula>NOT(ISERROR(SEARCH("FAILED",AJ7)))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P50"/>
  <sheetViews>
    <sheetView zoomScaleNormal="100" workbookViewId="0">
      <selection activeCell="B9" sqref="B9"/>
    </sheetView>
  </sheetViews>
  <sheetFormatPr defaultRowHeight="15" x14ac:dyDescent="0.25"/>
  <cols>
    <col min="2" max="2" width="38.85546875" customWidth="1"/>
    <col min="3" max="3" width="15.42578125" style="22" customWidth="1"/>
    <col min="4" max="4" width="14.5703125" style="22" customWidth="1"/>
    <col min="5" max="5" width="17.5703125" style="22" customWidth="1"/>
    <col min="6" max="6" width="17.85546875" style="22" customWidth="1"/>
    <col min="7" max="7" width="16.85546875" customWidth="1"/>
  </cols>
  <sheetData>
    <row r="1" spans="1:68" x14ac:dyDescent="0.25">
      <c r="B1" s="16" t="str">
        <f>Attendance!B1</f>
        <v>SUBJECT: COMP 1</v>
      </c>
      <c r="C1" s="17"/>
      <c r="D1"/>
    </row>
    <row r="2" spans="1:68" x14ac:dyDescent="0.25">
      <c r="B2" s="16" t="str">
        <f>Attendance!B2</f>
        <v>COURSE/YEAR: BSIT 1A</v>
      </c>
      <c r="C2" s="17"/>
      <c r="D2"/>
    </row>
    <row r="3" spans="1:68" x14ac:dyDescent="0.25">
      <c r="B3" s="16" t="str">
        <f>Attendance!B3</f>
        <v xml:space="preserve">TIME: </v>
      </c>
      <c r="C3" s="17"/>
      <c r="D3"/>
    </row>
    <row r="4" spans="1:68" x14ac:dyDescent="0.25">
      <c r="B4" s="16" t="str">
        <f>Attendance!B4</f>
        <v xml:space="preserve">ROOM: </v>
      </c>
      <c r="C4" s="17"/>
      <c r="D4"/>
    </row>
    <row r="5" spans="1:68" x14ac:dyDescent="0.25">
      <c r="B5" s="16" t="str">
        <f>Attendance!B5</f>
        <v xml:space="preserve">UNITS: </v>
      </c>
      <c r="C5" s="17"/>
      <c r="D5"/>
    </row>
    <row r="6" spans="1:68" ht="3" customHeight="1" x14ac:dyDescent="0.25"/>
    <row r="7" spans="1:68" hidden="1" x14ac:dyDescent="0.25"/>
    <row r="8" spans="1:68" hidden="1" x14ac:dyDescent="0.25"/>
    <row r="9" spans="1:68" x14ac:dyDescent="0.25">
      <c r="A9" s="13"/>
      <c r="B9" s="14" t="s">
        <v>0</v>
      </c>
      <c r="C9" s="21" t="s">
        <v>5</v>
      </c>
      <c r="D9" s="21" t="s">
        <v>6</v>
      </c>
      <c r="E9" s="21" t="s">
        <v>7</v>
      </c>
      <c r="F9" s="41" t="s">
        <v>14</v>
      </c>
      <c r="G9" s="21" t="s">
        <v>15</v>
      </c>
    </row>
    <row r="10" spans="1:68" x14ac:dyDescent="0.25">
      <c r="A10" s="9"/>
      <c r="B10" s="6"/>
      <c r="C10" s="21"/>
      <c r="D10" s="21"/>
      <c r="E10" s="21"/>
      <c r="F10" s="41"/>
      <c r="G10" s="15"/>
      <c r="BP10">
        <f>Average!G11</f>
        <v>0</v>
      </c>
    </row>
    <row r="11" spans="1:68" x14ac:dyDescent="0.25">
      <c r="A11" s="9"/>
      <c r="B11" s="6"/>
      <c r="C11" s="21"/>
      <c r="D11" s="21"/>
      <c r="E11" s="21"/>
      <c r="F11" s="41"/>
      <c r="G11" s="15"/>
    </row>
    <row r="12" spans="1:68" x14ac:dyDescent="0.25">
      <c r="A12" s="9">
        <v>1</v>
      </c>
      <c r="B12" s="18" t="str">
        <f>Attendance!B10</f>
        <v>ANDIANO. NOEL RABAGO</v>
      </c>
      <c r="C12" s="46">
        <f>Prelim!AI10</f>
        <v>100</v>
      </c>
      <c r="D12" s="46">
        <f>Midterm!AI10</f>
        <v>100</v>
      </c>
      <c r="E12" s="46">
        <f>Final!AI10</f>
        <v>100</v>
      </c>
      <c r="F12" s="47">
        <f>(C12+D12+E12)/3</f>
        <v>100</v>
      </c>
      <c r="G12" s="42" t="str">
        <f>IF(F12&lt;74.5,"FAILED","PASSED")</f>
        <v>PASSED</v>
      </c>
    </row>
    <row r="13" spans="1:68" x14ac:dyDescent="0.25">
      <c r="A13" s="9">
        <v>2</v>
      </c>
      <c r="B13" s="18" t="str">
        <f>Attendance!B11</f>
        <v>ASPE. SOPHIA ERICKA PACIENCIA</v>
      </c>
      <c r="C13" s="46">
        <f>Prelim!AI11</f>
        <v>50</v>
      </c>
      <c r="D13" s="46">
        <f>Midterm!AI11</f>
        <v>50</v>
      </c>
      <c r="E13" s="46">
        <f>Final!AI11</f>
        <v>50</v>
      </c>
      <c r="F13" s="47">
        <f t="shared" ref="F13:F49" si="0">(C13+D13+E13)/3</f>
        <v>50</v>
      </c>
      <c r="G13" s="42" t="str">
        <f t="shared" ref="G13:G49" si="1">IF(F13&lt;74.5,"FAILED","PASSED")</f>
        <v>FAILED</v>
      </c>
    </row>
    <row r="14" spans="1:68" x14ac:dyDescent="0.25">
      <c r="A14" s="9">
        <v>3</v>
      </c>
      <c r="B14" s="18" t="str">
        <f>Attendance!B12</f>
        <v>ATONDUCAN. VINCE ASHLEY PAREÑAS</v>
      </c>
      <c r="C14" s="46">
        <f>Prelim!AI12</f>
        <v>50</v>
      </c>
      <c r="D14" s="46">
        <f>Midterm!AI12</f>
        <v>50</v>
      </c>
      <c r="E14" s="46">
        <f>Final!AI12</f>
        <v>50</v>
      </c>
      <c r="F14" s="47">
        <f t="shared" si="0"/>
        <v>50</v>
      </c>
      <c r="G14" s="42" t="str">
        <f t="shared" si="1"/>
        <v>FAILED</v>
      </c>
    </row>
    <row r="15" spans="1:68" x14ac:dyDescent="0.25">
      <c r="A15" s="9">
        <v>4</v>
      </c>
      <c r="B15" s="18" t="str">
        <f>Attendance!B13</f>
        <v>BLANCO. KLYDE JANDY SAYNES</v>
      </c>
      <c r="C15" s="46">
        <f>Prelim!AI13</f>
        <v>50</v>
      </c>
      <c r="D15" s="46">
        <f>Midterm!AI13</f>
        <v>50</v>
      </c>
      <c r="E15" s="46">
        <f>Final!AI13</f>
        <v>50</v>
      </c>
      <c r="F15" s="47">
        <f t="shared" si="0"/>
        <v>50</v>
      </c>
      <c r="G15" s="42" t="str">
        <f t="shared" si="1"/>
        <v>FAILED</v>
      </c>
    </row>
    <row r="16" spans="1:68" x14ac:dyDescent="0.25">
      <c r="A16" s="9">
        <v>5</v>
      </c>
      <c r="B16" s="18" t="str">
        <f>Attendance!B14</f>
        <v>BORROMEO. HARVEY KENT DUMALAG</v>
      </c>
      <c r="C16" s="46">
        <f>Prelim!AI14</f>
        <v>50</v>
      </c>
      <c r="D16" s="46">
        <f>Midterm!AI14</f>
        <v>50</v>
      </c>
      <c r="E16" s="46">
        <f>Final!AI14</f>
        <v>50</v>
      </c>
      <c r="F16" s="47">
        <f t="shared" si="0"/>
        <v>50</v>
      </c>
      <c r="G16" s="42" t="str">
        <f t="shared" si="1"/>
        <v>FAILED</v>
      </c>
    </row>
    <row r="17" spans="1:7" x14ac:dyDescent="0.25">
      <c r="A17" s="9">
        <v>6</v>
      </c>
      <c r="B17" s="18" t="str">
        <f>Attendance!B15</f>
        <v>CABAYA. SOPHIA LOREN JURILLA</v>
      </c>
      <c r="C17" s="46">
        <f>Prelim!AI15</f>
        <v>50</v>
      </c>
      <c r="D17" s="46">
        <f>Midterm!AI15</f>
        <v>50</v>
      </c>
      <c r="E17" s="46">
        <f>Final!AI15</f>
        <v>50</v>
      </c>
      <c r="F17" s="47">
        <f t="shared" si="0"/>
        <v>50</v>
      </c>
      <c r="G17" s="42" t="str">
        <f t="shared" si="1"/>
        <v>FAILED</v>
      </c>
    </row>
    <row r="18" spans="1:7" x14ac:dyDescent="0.25">
      <c r="A18" s="9">
        <v>7</v>
      </c>
      <c r="B18" s="18" t="str">
        <f>Attendance!B16</f>
        <v>CASIDA. KIESHA LOU RODRIGUEZ</v>
      </c>
      <c r="C18" s="46">
        <f>Prelim!AI16</f>
        <v>50</v>
      </c>
      <c r="D18" s="46">
        <f>Midterm!AI16</f>
        <v>50</v>
      </c>
      <c r="E18" s="46">
        <f>Final!AI16</f>
        <v>50</v>
      </c>
      <c r="F18" s="47">
        <f t="shared" si="0"/>
        <v>50</v>
      </c>
      <c r="G18" s="42" t="str">
        <f t="shared" si="1"/>
        <v>FAILED</v>
      </c>
    </row>
    <row r="19" spans="1:7" x14ac:dyDescent="0.25">
      <c r="A19" s="9">
        <v>8</v>
      </c>
      <c r="B19" s="18" t="str">
        <f>Attendance!B17</f>
        <v>CUARESMA. LOUR DESIREE BAQUERO</v>
      </c>
      <c r="C19" s="46">
        <f>Prelim!AI17</f>
        <v>50</v>
      </c>
      <c r="D19" s="46">
        <f>Midterm!AI17</f>
        <v>50</v>
      </c>
      <c r="E19" s="46">
        <f>Final!AI17</f>
        <v>50</v>
      </c>
      <c r="F19" s="47">
        <f t="shared" si="0"/>
        <v>50</v>
      </c>
      <c r="G19" s="42" t="str">
        <f t="shared" si="1"/>
        <v>FAILED</v>
      </c>
    </row>
    <row r="20" spans="1:7" x14ac:dyDescent="0.25">
      <c r="A20" s="9">
        <v>9</v>
      </c>
      <c r="B20" s="18" t="str">
        <f>Attendance!B18</f>
        <v>DETOPEREZ. KNYTZ PANIZALES</v>
      </c>
      <c r="C20" s="46">
        <f>Prelim!AI18</f>
        <v>50</v>
      </c>
      <c r="D20" s="46">
        <f>Midterm!AI18</f>
        <v>50</v>
      </c>
      <c r="E20" s="46">
        <f>Final!AI18</f>
        <v>50</v>
      </c>
      <c r="F20" s="47">
        <f t="shared" si="0"/>
        <v>50</v>
      </c>
      <c r="G20" s="42" t="str">
        <f t="shared" si="1"/>
        <v>FAILED</v>
      </c>
    </row>
    <row r="21" spans="1:7" x14ac:dyDescent="0.25">
      <c r="A21" s="9">
        <v>10</v>
      </c>
      <c r="B21" s="18" t="str">
        <f>Attendance!B19</f>
        <v>DOMINGO. ARSENIO JR. DIOLESTE</v>
      </c>
      <c r="C21" s="46">
        <f>Prelim!AI19</f>
        <v>50</v>
      </c>
      <c r="D21" s="46">
        <f>Midterm!AI19</f>
        <v>50</v>
      </c>
      <c r="E21" s="46">
        <f>Final!AI19</f>
        <v>50</v>
      </c>
      <c r="F21" s="47">
        <f t="shared" si="0"/>
        <v>50</v>
      </c>
      <c r="G21" s="42" t="str">
        <f t="shared" si="1"/>
        <v>FAILED</v>
      </c>
    </row>
    <row r="22" spans="1:7" x14ac:dyDescent="0.25">
      <c r="A22" s="9">
        <v>11</v>
      </c>
      <c r="B22" s="18" t="str">
        <f>Attendance!B20</f>
        <v>ESCANDA. ETHAN GABRIEL BERNALDEZ</v>
      </c>
      <c r="C22" s="46">
        <f>Prelim!AI20</f>
        <v>50</v>
      </c>
      <c r="D22" s="46">
        <f>Midterm!AI20</f>
        <v>50</v>
      </c>
      <c r="E22" s="46">
        <f>Final!AI20</f>
        <v>50</v>
      </c>
      <c r="F22" s="47">
        <f t="shared" si="0"/>
        <v>50</v>
      </c>
      <c r="G22" s="42" t="str">
        <f t="shared" si="1"/>
        <v>FAILED</v>
      </c>
    </row>
    <row r="23" spans="1:7" x14ac:dyDescent="0.25">
      <c r="A23" s="9">
        <v>12</v>
      </c>
      <c r="B23" s="18" t="str">
        <f>Attendance!B21</f>
        <v>GENTERONE. LYCCA MAY PODADOR</v>
      </c>
      <c r="C23" s="46">
        <f>Prelim!AI21</f>
        <v>50</v>
      </c>
      <c r="D23" s="46">
        <f>Midterm!AI21</f>
        <v>50</v>
      </c>
      <c r="E23" s="46">
        <f>Final!AI21</f>
        <v>50</v>
      </c>
      <c r="F23" s="47">
        <f t="shared" si="0"/>
        <v>50</v>
      </c>
      <c r="G23" s="42" t="str">
        <f t="shared" si="1"/>
        <v>FAILED</v>
      </c>
    </row>
    <row r="24" spans="1:7" x14ac:dyDescent="0.25">
      <c r="A24" s="9">
        <v>13</v>
      </c>
      <c r="B24" s="18" t="str">
        <f>Attendance!B22</f>
        <v>HITONES. APPLE ANDREA SU-AY</v>
      </c>
      <c r="C24" s="46">
        <f>Prelim!AI22</f>
        <v>50</v>
      </c>
      <c r="D24" s="46">
        <f>Midterm!AI22</f>
        <v>50</v>
      </c>
      <c r="E24" s="46">
        <f>Final!AI22</f>
        <v>50</v>
      </c>
      <c r="F24" s="47">
        <f t="shared" si="0"/>
        <v>50</v>
      </c>
      <c r="G24" s="42" t="str">
        <f t="shared" si="1"/>
        <v>FAILED</v>
      </c>
    </row>
    <row r="25" spans="1:7" x14ac:dyDescent="0.25">
      <c r="A25" s="9">
        <v>14</v>
      </c>
      <c r="B25" s="18" t="str">
        <f>Attendance!B23</f>
        <v>ILISAN. JOHN PAUL PAGDATO</v>
      </c>
      <c r="C25" s="46">
        <f>Prelim!AI23</f>
        <v>50</v>
      </c>
      <c r="D25" s="46">
        <f>Midterm!AI23</f>
        <v>50</v>
      </c>
      <c r="E25" s="46">
        <f>Final!AI23</f>
        <v>50</v>
      </c>
      <c r="F25" s="47">
        <f t="shared" si="0"/>
        <v>50</v>
      </c>
      <c r="G25" s="42" t="str">
        <f t="shared" si="1"/>
        <v>FAILED</v>
      </c>
    </row>
    <row r="26" spans="1:7" x14ac:dyDescent="0.25">
      <c r="A26" s="9">
        <v>15</v>
      </c>
      <c r="B26" s="18" t="str">
        <f>Attendance!B24</f>
        <v>JABAN. GABRIEL JAY JORNADAL</v>
      </c>
      <c r="C26" s="46">
        <f>Prelim!AI24</f>
        <v>50</v>
      </c>
      <c r="D26" s="46">
        <f>Midterm!AI24</f>
        <v>50</v>
      </c>
      <c r="E26" s="46">
        <f>Final!AI24</f>
        <v>50</v>
      </c>
      <c r="F26" s="47">
        <f t="shared" si="0"/>
        <v>50</v>
      </c>
      <c r="G26" s="42" t="str">
        <f t="shared" si="1"/>
        <v>FAILED</v>
      </c>
    </row>
    <row r="27" spans="1:7" x14ac:dyDescent="0.25">
      <c r="A27" s="9">
        <v>16</v>
      </c>
      <c r="B27" s="18" t="str">
        <f>Attendance!B25</f>
        <v>JACULINA. KRIZEL JOY AMULAR</v>
      </c>
      <c r="C27" s="46">
        <f>Prelim!AI25</f>
        <v>50</v>
      </c>
      <c r="D27" s="46">
        <f>Midterm!AI25</f>
        <v>50</v>
      </c>
      <c r="E27" s="46">
        <f>Final!AI25</f>
        <v>50</v>
      </c>
      <c r="F27" s="47">
        <f t="shared" si="0"/>
        <v>50</v>
      </c>
      <c r="G27" s="42" t="str">
        <f t="shared" si="1"/>
        <v>FAILED</v>
      </c>
    </row>
    <row r="28" spans="1:7" x14ac:dyDescent="0.25">
      <c r="A28" s="9">
        <v>17</v>
      </c>
      <c r="B28" s="18" t="str">
        <f>Attendance!B26</f>
        <v>LANGOTE. JAMELA FAYE SORBITO</v>
      </c>
      <c r="C28" s="46">
        <f>Prelim!AI26</f>
        <v>50</v>
      </c>
      <c r="D28" s="46">
        <f>Midterm!AI26</f>
        <v>50</v>
      </c>
      <c r="E28" s="46">
        <f>Final!AI26</f>
        <v>50</v>
      </c>
      <c r="F28" s="47">
        <f t="shared" si="0"/>
        <v>50</v>
      </c>
      <c r="G28" s="42" t="str">
        <f t="shared" si="1"/>
        <v>FAILED</v>
      </c>
    </row>
    <row r="29" spans="1:7" x14ac:dyDescent="0.25">
      <c r="A29" s="9">
        <v>18</v>
      </c>
      <c r="B29" s="18" t="str">
        <f>Attendance!B27</f>
        <v>MAGDUGO. BHE JAY PANGANIBAN</v>
      </c>
      <c r="C29" s="46">
        <f>Prelim!AI27</f>
        <v>50</v>
      </c>
      <c r="D29" s="46">
        <f>Midterm!AI27</f>
        <v>50</v>
      </c>
      <c r="E29" s="46">
        <f>Final!AI27</f>
        <v>50</v>
      </c>
      <c r="F29" s="47">
        <f t="shared" si="0"/>
        <v>50</v>
      </c>
      <c r="G29" s="42" t="str">
        <f t="shared" si="1"/>
        <v>FAILED</v>
      </c>
    </row>
    <row r="30" spans="1:7" x14ac:dyDescent="0.25">
      <c r="A30" s="9">
        <v>19</v>
      </c>
      <c r="B30" s="18" t="str">
        <f>Attendance!B28</f>
        <v>MARIANO. ERICKA MAE BALUCA</v>
      </c>
      <c r="C30" s="46">
        <f>Prelim!AI28</f>
        <v>50</v>
      </c>
      <c r="D30" s="46">
        <f>Midterm!AI28</f>
        <v>50</v>
      </c>
      <c r="E30" s="46">
        <f>Final!AI28</f>
        <v>50</v>
      </c>
      <c r="F30" s="47">
        <f t="shared" si="0"/>
        <v>50</v>
      </c>
      <c r="G30" s="42" t="str">
        <f t="shared" si="1"/>
        <v>FAILED</v>
      </c>
    </row>
    <row r="31" spans="1:7" x14ac:dyDescent="0.25">
      <c r="A31" s="9">
        <v>20</v>
      </c>
      <c r="B31" s="18" t="str">
        <f>Attendance!B29</f>
        <v>MATULAC. JEREMIE LAÑOJAN</v>
      </c>
      <c r="C31" s="46">
        <f>Prelim!AI29</f>
        <v>50</v>
      </c>
      <c r="D31" s="46">
        <f>Midterm!AI29</f>
        <v>50</v>
      </c>
      <c r="E31" s="46">
        <f>Final!AI29</f>
        <v>50</v>
      </c>
      <c r="F31" s="47">
        <f t="shared" si="0"/>
        <v>50</v>
      </c>
      <c r="G31" s="42" t="str">
        <f t="shared" si="1"/>
        <v>FAILED</v>
      </c>
    </row>
    <row r="32" spans="1:7" x14ac:dyDescent="0.25">
      <c r="A32" s="9">
        <v>21</v>
      </c>
      <c r="B32" s="18" t="str">
        <f>Attendance!B30</f>
        <v>NASA. GEN FLORENCE NELLAS</v>
      </c>
      <c r="C32" s="46">
        <f>Prelim!AI30</f>
        <v>50</v>
      </c>
      <c r="D32" s="46">
        <f>Midterm!AI30</f>
        <v>50</v>
      </c>
      <c r="E32" s="46">
        <f>Final!AI30</f>
        <v>50</v>
      </c>
      <c r="F32" s="47">
        <f t="shared" si="0"/>
        <v>50</v>
      </c>
      <c r="G32" s="42" t="str">
        <f t="shared" si="1"/>
        <v>FAILED</v>
      </c>
    </row>
    <row r="33" spans="1:7" x14ac:dyDescent="0.25">
      <c r="A33" s="9">
        <v>22</v>
      </c>
      <c r="B33" s="18" t="str">
        <f>Attendance!B31</f>
        <v>ONEZ. CHRISTIAN JAY PATINIO</v>
      </c>
      <c r="C33" s="46">
        <f>Prelim!AI31</f>
        <v>50</v>
      </c>
      <c r="D33" s="46">
        <f>Midterm!AI31</f>
        <v>50</v>
      </c>
      <c r="E33" s="46">
        <f>Final!AI31</f>
        <v>50</v>
      </c>
      <c r="F33" s="47">
        <f t="shared" si="0"/>
        <v>50</v>
      </c>
      <c r="G33" s="42" t="str">
        <f t="shared" si="1"/>
        <v>FAILED</v>
      </c>
    </row>
    <row r="34" spans="1:7" x14ac:dyDescent="0.25">
      <c r="A34" s="9">
        <v>23</v>
      </c>
      <c r="B34" s="18" t="str">
        <f>Attendance!B32</f>
        <v>PADILLO. KIRK HILARY MOTAO</v>
      </c>
      <c r="C34" s="46">
        <f>Prelim!AI32</f>
        <v>50</v>
      </c>
      <c r="D34" s="46">
        <f>Midterm!AI32</f>
        <v>50</v>
      </c>
      <c r="E34" s="46">
        <f>Final!AI32</f>
        <v>50</v>
      </c>
      <c r="F34" s="47">
        <f t="shared" si="0"/>
        <v>50</v>
      </c>
      <c r="G34" s="42" t="str">
        <f t="shared" si="1"/>
        <v>FAILED</v>
      </c>
    </row>
    <row r="35" spans="1:7" x14ac:dyDescent="0.25">
      <c r="A35" s="9">
        <v>24</v>
      </c>
      <c r="B35" s="18" t="str">
        <f>Attendance!B33</f>
        <v>PAJO. MARK JEMUEL MANCENIDO</v>
      </c>
      <c r="C35" s="46">
        <f>Prelim!AI33</f>
        <v>50</v>
      </c>
      <c r="D35" s="46">
        <f>Midterm!AI33</f>
        <v>50</v>
      </c>
      <c r="E35" s="46">
        <f>Final!AI33</f>
        <v>50</v>
      </c>
      <c r="F35" s="47">
        <f t="shared" si="0"/>
        <v>50</v>
      </c>
      <c r="G35" s="42" t="str">
        <f t="shared" si="1"/>
        <v>FAILED</v>
      </c>
    </row>
    <row r="36" spans="1:7" x14ac:dyDescent="0.25">
      <c r="A36" s="9">
        <v>25</v>
      </c>
      <c r="B36" s="18" t="str">
        <f>Attendance!B34</f>
        <v>PANALIGAN. LEREMAE SHEANE TUGAP</v>
      </c>
      <c r="C36" s="46">
        <f>Prelim!AI34</f>
        <v>50</v>
      </c>
      <c r="D36" s="46">
        <f>Midterm!AI34</f>
        <v>50</v>
      </c>
      <c r="E36" s="46">
        <f>Final!AI34</f>
        <v>50</v>
      </c>
      <c r="F36" s="47">
        <f t="shared" si="0"/>
        <v>50</v>
      </c>
      <c r="G36" s="42" t="str">
        <f t="shared" si="1"/>
        <v>FAILED</v>
      </c>
    </row>
    <row r="37" spans="1:7" x14ac:dyDescent="0.25">
      <c r="A37" s="9">
        <v>26</v>
      </c>
      <c r="B37" s="18" t="str">
        <f>Attendance!B35</f>
        <v>PANGALINON. PETER GLIMADA</v>
      </c>
      <c r="C37" s="46">
        <f>Prelim!AI35</f>
        <v>50</v>
      </c>
      <c r="D37" s="46">
        <f>Midterm!AI35</f>
        <v>50</v>
      </c>
      <c r="E37" s="46">
        <f>Final!AI35</f>
        <v>50</v>
      </c>
      <c r="F37" s="47">
        <f t="shared" si="0"/>
        <v>50</v>
      </c>
      <c r="G37" s="42" t="str">
        <f t="shared" si="1"/>
        <v>FAILED</v>
      </c>
    </row>
    <row r="38" spans="1:7" x14ac:dyDescent="0.25">
      <c r="A38" s="9">
        <v>27</v>
      </c>
      <c r="B38" s="18" t="str">
        <f>Attendance!B36</f>
        <v>PARADERO. NIKKO SOLAYAO</v>
      </c>
      <c r="C38" s="46">
        <f>Prelim!AI36</f>
        <v>50</v>
      </c>
      <c r="D38" s="46">
        <f>Midterm!AI36</f>
        <v>50</v>
      </c>
      <c r="E38" s="46">
        <f>Final!AI36</f>
        <v>50</v>
      </c>
      <c r="F38" s="47">
        <f t="shared" si="0"/>
        <v>50</v>
      </c>
      <c r="G38" s="42" t="str">
        <f t="shared" si="1"/>
        <v>FAILED</v>
      </c>
    </row>
    <row r="39" spans="1:7" x14ac:dyDescent="0.25">
      <c r="A39" s="9">
        <v>28</v>
      </c>
      <c r="B39" s="18" t="str">
        <f>Attendance!B37</f>
        <v>RECALE. IVAN JAY DEMILLO</v>
      </c>
      <c r="C39" s="46">
        <f>Prelim!AI37</f>
        <v>50</v>
      </c>
      <c r="D39" s="46">
        <f>Midterm!AI37</f>
        <v>50</v>
      </c>
      <c r="E39" s="46">
        <f>Final!AI37</f>
        <v>50</v>
      </c>
      <c r="F39" s="47">
        <f t="shared" si="0"/>
        <v>50</v>
      </c>
      <c r="G39" s="42" t="str">
        <f t="shared" si="1"/>
        <v>FAILED</v>
      </c>
    </row>
    <row r="40" spans="1:7" x14ac:dyDescent="0.25">
      <c r="A40" s="9">
        <v>29</v>
      </c>
      <c r="B40" s="18" t="str">
        <f>Attendance!B38</f>
        <v>ROCABERTE. IVAN JHAMES MEPERANUM</v>
      </c>
      <c r="C40" s="46">
        <f>Prelim!AI38</f>
        <v>50</v>
      </c>
      <c r="D40" s="46">
        <f>Midterm!AI38</f>
        <v>50</v>
      </c>
      <c r="E40" s="46">
        <f>Final!AI38</f>
        <v>50</v>
      </c>
      <c r="F40" s="47">
        <f t="shared" si="0"/>
        <v>50</v>
      </c>
      <c r="G40" s="42" t="str">
        <f t="shared" si="1"/>
        <v>FAILED</v>
      </c>
    </row>
    <row r="41" spans="1:7" x14ac:dyDescent="0.25">
      <c r="A41" s="9">
        <v>30</v>
      </c>
      <c r="B41" s="18" t="str">
        <f>Attendance!B39</f>
        <v>SARDONCILLO. ELLY MAY YSULAN</v>
      </c>
      <c r="C41" s="46">
        <f>Prelim!AI39</f>
        <v>50</v>
      </c>
      <c r="D41" s="46">
        <f>Midterm!AI39</f>
        <v>50</v>
      </c>
      <c r="E41" s="46">
        <f>Final!AI39</f>
        <v>50</v>
      </c>
      <c r="F41" s="47">
        <f t="shared" si="0"/>
        <v>50</v>
      </c>
      <c r="G41" s="42" t="str">
        <f t="shared" si="1"/>
        <v>FAILED</v>
      </c>
    </row>
    <row r="42" spans="1:7" x14ac:dyDescent="0.25">
      <c r="A42" s="9">
        <v>31</v>
      </c>
      <c r="B42" s="18" t="str">
        <f>Attendance!B40</f>
        <v>SIAGO. JERICHO CALUNSAG</v>
      </c>
      <c r="C42" s="46">
        <f>Prelim!AI40</f>
        <v>50</v>
      </c>
      <c r="D42" s="46">
        <f>Midterm!AI40</f>
        <v>50</v>
      </c>
      <c r="E42" s="46">
        <f>Final!AI40</f>
        <v>50</v>
      </c>
      <c r="F42" s="47">
        <f t="shared" si="0"/>
        <v>50</v>
      </c>
      <c r="G42" s="42" t="str">
        <f t="shared" si="1"/>
        <v>FAILED</v>
      </c>
    </row>
    <row r="43" spans="1:7" x14ac:dyDescent="0.25">
      <c r="A43" s="9">
        <v>32</v>
      </c>
      <c r="B43" s="18" t="str">
        <f>Attendance!B41</f>
        <v>SILAGAN. THYRON CABILES</v>
      </c>
      <c r="C43" s="46">
        <f>Prelim!AI41</f>
        <v>50</v>
      </c>
      <c r="D43" s="46">
        <f>Midterm!AI41</f>
        <v>50</v>
      </c>
      <c r="E43" s="46">
        <f>Final!AI41</f>
        <v>50</v>
      </c>
      <c r="F43" s="47">
        <f t="shared" si="0"/>
        <v>50</v>
      </c>
      <c r="G43" s="42" t="str">
        <f t="shared" si="1"/>
        <v>FAILED</v>
      </c>
    </row>
    <row r="44" spans="1:7" x14ac:dyDescent="0.25">
      <c r="A44" s="9">
        <v>33</v>
      </c>
      <c r="B44" s="18" t="str">
        <f>Attendance!B42</f>
        <v>SUERTE. KHENT BRIANE ORCASITAS</v>
      </c>
      <c r="C44" s="46">
        <f>Prelim!AI42</f>
        <v>50</v>
      </c>
      <c r="D44" s="46">
        <f>Midterm!AI42</f>
        <v>50</v>
      </c>
      <c r="E44" s="46">
        <f>Final!AI42</f>
        <v>50</v>
      </c>
      <c r="F44" s="47">
        <f t="shared" si="0"/>
        <v>50</v>
      </c>
      <c r="G44" s="42" t="str">
        <f t="shared" si="1"/>
        <v>FAILED</v>
      </c>
    </row>
    <row r="45" spans="1:7" x14ac:dyDescent="0.25">
      <c r="A45" s="9">
        <v>34</v>
      </c>
      <c r="B45" s="18" t="str">
        <f>Attendance!B43</f>
        <v>SUMUGAT. EDGARDO JR. CORDEVILLA</v>
      </c>
      <c r="C45" s="46">
        <f>Prelim!AI43</f>
        <v>50</v>
      </c>
      <c r="D45" s="46">
        <f>Midterm!AI43</f>
        <v>50</v>
      </c>
      <c r="E45" s="46">
        <f>Final!AI43</f>
        <v>50</v>
      </c>
      <c r="F45" s="47">
        <f t="shared" si="0"/>
        <v>50</v>
      </c>
      <c r="G45" s="42" t="str">
        <f t="shared" si="1"/>
        <v>FAILED</v>
      </c>
    </row>
    <row r="46" spans="1:7" x14ac:dyDescent="0.25">
      <c r="A46" s="9">
        <v>35</v>
      </c>
      <c r="B46" s="18" t="str">
        <f>Attendance!B44</f>
        <v>TABLATIN. CHRISTIAN JAY BAYONA</v>
      </c>
      <c r="C46" s="46">
        <f>Prelim!AI44</f>
        <v>50</v>
      </c>
      <c r="D46" s="46">
        <f>Midterm!AI44</f>
        <v>50</v>
      </c>
      <c r="E46" s="46">
        <f>Final!AI44</f>
        <v>50</v>
      </c>
      <c r="F46" s="47">
        <f t="shared" si="0"/>
        <v>50</v>
      </c>
      <c r="G46" s="42" t="str">
        <f t="shared" si="1"/>
        <v>FAILED</v>
      </c>
    </row>
    <row r="47" spans="1:7" x14ac:dyDescent="0.25">
      <c r="A47" s="9">
        <v>36</v>
      </c>
      <c r="B47" s="18" t="str">
        <f>Attendance!B45</f>
        <v>TAMPUS. CALE JANINE BRINGAS</v>
      </c>
      <c r="C47" s="46">
        <f>Prelim!AI45</f>
        <v>50</v>
      </c>
      <c r="D47" s="46">
        <f>Midterm!AI45</f>
        <v>50</v>
      </c>
      <c r="E47" s="46">
        <f>Final!AI45</f>
        <v>50</v>
      </c>
      <c r="F47" s="47">
        <f t="shared" si="0"/>
        <v>50</v>
      </c>
      <c r="G47" s="42" t="str">
        <f t="shared" si="1"/>
        <v>FAILED</v>
      </c>
    </row>
    <row r="48" spans="1:7" x14ac:dyDescent="0.25">
      <c r="A48" s="9">
        <v>37</v>
      </c>
      <c r="B48" s="18" t="str">
        <f>Attendance!B46</f>
        <v>TEJADA. JURIELLE MARTIZANO</v>
      </c>
      <c r="C48" s="46">
        <f>Prelim!AI46</f>
        <v>50</v>
      </c>
      <c r="D48" s="46">
        <f>Midterm!AI46</f>
        <v>50</v>
      </c>
      <c r="E48" s="46">
        <f>Final!AI46</f>
        <v>50</v>
      </c>
      <c r="F48" s="47">
        <f t="shared" si="0"/>
        <v>50</v>
      </c>
      <c r="G48" s="42" t="str">
        <f t="shared" si="1"/>
        <v>FAILED</v>
      </c>
    </row>
    <row r="49" spans="1:7" x14ac:dyDescent="0.25">
      <c r="A49" s="9">
        <v>38</v>
      </c>
      <c r="B49" s="18" t="str">
        <f>Attendance!B47</f>
        <v>USMAN. KATHERINE YANONG</v>
      </c>
      <c r="C49" s="46">
        <f>Prelim!AI47</f>
        <v>50</v>
      </c>
      <c r="D49" s="46">
        <f>Midterm!AI47</f>
        <v>50</v>
      </c>
      <c r="E49" s="46">
        <f>Final!AI47</f>
        <v>50</v>
      </c>
      <c r="F49" s="47">
        <f t="shared" si="0"/>
        <v>50</v>
      </c>
      <c r="G49" s="42" t="str">
        <f t="shared" si="1"/>
        <v>FAILED</v>
      </c>
    </row>
    <row r="50" spans="1:7" x14ac:dyDescent="0.25">
      <c r="A50" s="9">
        <v>39</v>
      </c>
      <c r="B50" s="18" t="str">
        <f>Attendance!B48</f>
        <v>VILLARBA. JACOB PERNITO</v>
      </c>
      <c r="C50" s="46">
        <f>Prelim!AI48</f>
        <v>50</v>
      </c>
      <c r="D50" s="46">
        <f>Midterm!AI48</f>
        <v>50</v>
      </c>
      <c r="E50" s="46">
        <f>Final!AI48</f>
        <v>50</v>
      </c>
      <c r="F50" s="47">
        <f t="shared" ref="F50" si="2">(C50+D50+E50)/3</f>
        <v>50</v>
      </c>
      <c r="G50" s="42" t="str">
        <f t="shared" ref="G50" si="3">IF(F50&lt;74.5,"FAILED","PASSED")</f>
        <v>FAILED</v>
      </c>
    </row>
  </sheetData>
  <conditionalFormatting sqref="C12:F50">
    <cfRule type="cellIs" dxfId="1" priority="9" operator="lessThan">
      <formula>75</formula>
    </cfRule>
  </conditionalFormatting>
  <conditionalFormatting sqref="G12:G50">
    <cfRule type="containsText" dxfId="0" priority="2" operator="containsText" text="FAILED">
      <formula>NOT(ISERROR(SEARCH("FAILED",G12)))</formula>
    </cfRule>
  </conditionalFormatting>
  <pageMargins left="0.7" right="0.7" top="0.75" bottom="0.75" header="0.3" footer="0.3"/>
  <pageSetup paperSize="9" scale="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Attendance</vt:lpstr>
      <vt:lpstr>Prelim</vt:lpstr>
      <vt:lpstr>Midterm</vt:lpstr>
      <vt:lpstr>Final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Seph</cp:lastModifiedBy>
  <cp:lastPrinted>2025-11-29T18:11:10Z</cp:lastPrinted>
  <dcterms:created xsi:type="dcterms:W3CDTF">2015-12-18T23:48:12Z</dcterms:created>
  <dcterms:modified xsi:type="dcterms:W3CDTF">2026-08-06T19:55:25Z</dcterms:modified>
</cp:coreProperties>
</file>